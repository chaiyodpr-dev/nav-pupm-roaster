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011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https://aerothaicoth-my.sharepoint.com/personal/chaiyod_pr_aerothai_co_th/Documents/07_NESE Program/01_nav roster/"/>
    </mc:Choice>
  </mc:AlternateContent>
  <xr:revisionPtr revIDLastSave="0" documentId="10_ncr:8_{8223DDDB-B112-1446-BA57-9A56FE0BF6B8}" xr6:coauthVersionLast="47" xr6:coauthVersionMax="47" xr10:uidLastSave="{00000000-0000-0000-0000-000000000000}"/>
  <bookViews>
    <workbookView xWindow="0" yWindow="660" windowWidth="29400" windowHeight="17040" xr2:uid="{00000000-000D-0000-FFFF-FFFF00000000}"/>
  </bookViews>
  <sheets>
    <sheet name="รวมลา" sheetId="14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I54" i="14" l="1"/>
  <c r="AH53" i="14"/>
  <c r="AI51" i="14"/>
  <c r="AH50" i="14"/>
  <c r="AI48" i="14"/>
  <c r="AH47" i="14"/>
  <c r="AI45" i="14"/>
  <c r="AH44" i="14"/>
  <c r="AI43" i="14" a="1"/>
  <c r="D42" i="14"/>
  <c r="E42" i="14" s="1"/>
  <c r="F42" i="14" s="1"/>
  <c r="G42" i="14" s="1"/>
  <c r="H42" i="14" s="1"/>
  <c r="I42" i="14" s="1"/>
  <c r="J42" i="14" s="1"/>
  <c r="K42" i="14" s="1"/>
  <c r="L42" i="14" s="1"/>
  <c r="M42" i="14" s="1"/>
  <c r="N42" i="14" s="1"/>
  <c r="O42" i="14" s="1"/>
  <c r="P42" i="14" s="1"/>
  <c r="Q42" i="14" s="1"/>
  <c r="R42" i="14" s="1"/>
  <c r="S42" i="14" s="1"/>
  <c r="T42" i="14" s="1"/>
  <c r="U42" i="14" s="1"/>
  <c r="V42" i="14" s="1"/>
  <c r="W42" i="14" s="1"/>
  <c r="X42" i="14" s="1"/>
  <c r="Y42" i="14" s="1"/>
  <c r="Z42" i="14" s="1"/>
  <c r="AA42" i="14" s="1"/>
  <c r="AB42" i="14" s="1"/>
  <c r="AC42" i="14" s="1"/>
  <c r="AD42" i="14" s="1"/>
  <c r="AE42" i="14" s="1"/>
  <c r="AI38" i="14"/>
  <c r="AH37" i="14"/>
  <c r="AI36" i="14" a="1"/>
  <c r="D35" i="14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R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I26" i="14"/>
  <c r="AH25" i="14"/>
  <c r="AI23" i="14"/>
  <c r="AH22" i="14"/>
  <c r="AI20" i="14"/>
  <c r="AH19" i="14"/>
  <c r="AI17" i="14"/>
  <c r="AH16" i="14"/>
  <c r="AI14" i="14"/>
  <c r="AH13" i="14"/>
  <c r="AI11" i="14"/>
  <c r="AH10" i="14"/>
  <c r="AI8" i="14"/>
  <c r="AH7" i="14"/>
  <c r="AI5" i="14"/>
  <c r="AH4" i="14"/>
  <c r="AI3" i="14" a="1"/>
  <c r="D2" i="14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I53" i="14" l="1"/>
  <c r="AI55" i="14"/>
  <c r="AI50" i="14"/>
  <c r="AI52" i="14"/>
  <c r="AI47" i="14"/>
  <c r="AI49" i="14"/>
  <c r="AI44" i="14"/>
  <c r="AI46" i="14"/>
  <c r="AI37" i="14"/>
  <c r="AI39" i="14"/>
  <c r="AI27" i="14"/>
  <c r="AI25" i="14"/>
  <c r="AI24" i="14"/>
  <c r="AI22" i="14"/>
  <c r="AI21" i="14"/>
  <c r="AI19" i="14"/>
  <c r="AI16" i="14"/>
  <c r="AI18" i="14"/>
  <c r="AI13" i="14"/>
  <c r="AI15" i="14"/>
  <c r="AI10" i="14"/>
  <c r="AI12" i="14"/>
  <c r="AI7" i="14"/>
  <c r="AI9" i="14"/>
  <c r="AI6" i="14"/>
  <c r="AI4" i="14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<sst xmlns="http://purl.oclc.org/ooxml/spreadsheetml/main" count="714" uniqueCount="77">
  <si>
    <t>วันที่</t>
  </si>
  <si>
    <t xml:space="preserve">Total </t>
  </si>
  <si>
    <t>ศภ.บภ ๑.(วช.บว.)</t>
  </si>
  <si>
    <t>จ</t>
  </si>
  <si>
    <t>อ</t>
  </si>
  <si>
    <t>พ</t>
  </si>
  <si>
    <t>พฤ</t>
  </si>
  <si>
    <t>ศ</t>
  </si>
  <si>
    <t>ส</t>
  </si>
  <si>
    <t>อา</t>
  </si>
  <si>
    <t xml:space="preserve"> Hr</t>
  </si>
  <si>
    <t>๑. นายสุเนตร   พิทักษ์วีรกุล</t>
  </si>
  <si>
    <t>Os</t>
  </si>
  <si>
    <t>O</t>
  </si>
  <si>
    <t>MRN</t>
  </si>
  <si>
    <t>ORN</t>
  </si>
  <si>
    <t xml:space="preserve">๒. นายสุเนตร     แซ่ตัน  </t>
  </si>
  <si>
    <t>๓. นางสาวปิยพร  พฤษดี</t>
  </si>
  <si>
    <t>ปฏิบัติงาน หอฯ กระบี่</t>
  </si>
  <si>
    <t>๔. นายพงษ์ศักดิ์ นิลทะรัตน์</t>
  </si>
  <si>
    <t>๕. นายชัยยศ     ประชา</t>
  </si>
  <si>
    <t>๖. นายพศวีร์    ศรีพัฒน์</t>
  </si>
  <si>
    <t>๗. นายพชร โสภานนท์</t>
  </si>
  <si>
    <t>Od : Off Daywork, OD : Off Daywork วันหยุดนักขัตฯ, Os : Off Shift (Off เวรกะ), MRN : หมุนเวียนหอฯระนอง, ORN : Off หมุนเวียนหอฯระนอง</t>
  </si>
  <si>
    <t xml:space="preserve">    ตารางการปฏิบัติงานวิศวกรสังกัด ศภ.บภ ๑.(วช.บว.) ประจำเดือน ต.ค. 2569</t>
  </si>
  <si>
    <t>13 ต.ค.=วันคล้ายวันสวรรคต, 23 ต.ค.=วันปิยมหาราช</t>
  </si>
  <si>
    <t>OT</t>
  </si>
  <si>
    <t>sum</t>
  </si>
  <si>
    <t>M1:0630-1230, M2:1230-1830, N1:1830-0330, N2:0030-0630</t>
  </si>
  <si>
    <t>๑. ศิริ  บู่ทอง</t>
  </si>
  <si>
    <t xml:space="preserve">    ตารางการปฏิบัติงานวิศวกรสังกัด ศภ.บภ ๑.(วฟ.สว.) ประจำเดือน ต.ค. 2569</t>
  </si>
  <si>
    <t>๑. นายสุทธิชัย  นาคทอง</t>
  </si>
  <si>
    <t>๒. นายสิทธิชัย  ธีรวาทีกุล</t>
  </si>
  <si>
    <t>PS</t>
  </si>
  <si>
    <t>PC</t>
  </si>
  <si>
    <t>SB</t>
  </si>
  <si>
    <t>SN</t>
  </si>
  <si>
    <t>ST</t>
  </si>
  <si>
    <t>CP</t>
  </si>
  <si>
    <t xml:space="preserve">    ตารางการปฏิบัติงานวิศวกรสังกัด ศภ.บภ ๑.(วส.บว.) ประจำเดือน ต.ค. 2569</t>
  </si>
  <si>
    <t>ศภ.บภ ๑.(วส.บว.)</t>
  </si>
  <si>
    <t>ศภ.บภ ๑.(วฟ.สว.)</t>
  </si>
  <si>
    <t>PM</t>
  </si>
  <si>
    <t>W/W1</t>
  </si>
  <si>
    <t>W2</t>
  </si>
  <si>
    <t>นายพชร โสภานนท์</t>
  </si>
  <si>
    <t>SR</t>
  </si>
  <si>
    <t>SC</t>
  </si>
  <si>
    <t>PP</t>
  </si>
  <si>
    <t>PN</t>
  </si>
  <si>
    <t>ปฏิบัติงาน เวร วฟ.สว.</t>
  </si>
  <si>
    <t>นายชัยยศ  ประชา</t>
  </si>
  <si>
    <t>นายพศวีร์  ศรีพัฒน์</t>
  </si>
  <si>
    <t>VL</t>
  </si>
  <si>
    <t>Od : Off Daywork, OD : Off Daywork วันหยุดนักขัตฯ, Os : Off Shift (Off เวรกะ),</t>
  </si>
  <si>
    <t>M/N</t>
  </si>
  <si>
    <t>=แทน วช. ลา</t>
  </si>
  <si>
    <t>=แทน วฟ. ลา</t>
  </si>
  <si>
    <t>=แทน วช. ตำแหน่งว่าง</t>
  </si>
  <si>
    <t>=แทน วฟ. ตำแหน่งว่าง</t>
  </si>
  <si>
    <t>Mr</t>
  </si>
  <si>
    <t>Nn</t>
  </si>
  <si>
    <t>Mn</t>
  </si>
  <si>
    <t>Mk</t>
  </si>
  <si>
    <t>Nk</t>
  </si>
  <si>
    <t>Me</t>
  </si>
  <si>
    <t>Ne</t>
  </si>
  <si>
    <t>ปฏิบัติงาน เวร วฟ.สว</t>
  </si>
  <si>
    <t>วฟ</t>
  </si>
  <si>
    <t>Nc</t>
  </si>
  <si>
    <t>Mc</t>
  </si>
  <si>
    <t>DW</t>
  </si>
  <si>
    <t>Me2</t>
  </si>
  <si>
    <t>Me1</t>
  </si>
  <si>
    <t>๘. ตำแหน่งว่างงาน วช.</t>
  </si>
  <si>
    <t>๔. ตำแหน่งว่างงาน วฟ.</t>
  </si>
  <si>
    <t>PL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</si>
</sst>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22"/>
      <scheme val="minor"/>
    </font>
    <font>
      <b/>
      <sz val="24"/>
      <name val="TH Sarabun New"/>
      <family val="2"/>
    </font>
    <font>
      <sz val="11"/>
      <name val="TH Sarabun New"/>
      <family val="2"/>
    </font>
    <font>
      <b/>
      <sz val="14"/>
      <name val="TH Sarabun New"/>
      <family val="2"/>
    </font>
    <font>
      <b/>
      <sz val="14"/>
      <color theme="1"/>
      <name val="TH Sarabun New"/>
      <family val="2"/>
    </font>
    <font>
      <sz val="14"/>
      <name val="TH Sarabun New"/>
      <family val="2"/>
    </font>
    <font>
      <b/>
      <sz val="14"/>
      <color rgb="FFFF0000"/>
      <name val="TH Sarabun New"/>
      <family val="2"/>
    </font>
    <font>
      <sz val="12"/>
      <name val="TH Sarabun New"/>
      <family val="2"/>
    </font>
    <font>
      <sz val="11"/>
      <color rgb="FFFF0000"/>
      <name val="TH Sarabun New"/>
      <family val="2"/>
    </font>
    <font>
      <sz val="10"/>
      <name val="TH Sarabun New"/>
      <family val="2"/>
    </font>
    <font>
      <b/>
      <sz val="11"/>
      <color rgb="FFFF0000"/>
      <name val="TH Sarabun New"/>
      <family val="2"/>
    </font>
    <font>
      <b/>
      <sz val="12"/>
      <color rgb="FFFF0000"/>
      <name val="TH Sarabun New"/>
      <family val="2"/>
    </font>
    <font>
      <b/>
      <sz val="12"/>
      <name val="TH Sarabun New"/>
      <family val="2"/>
    </font>
    <font>
      <b/>
      <sz val="11"/>
      <name val="TH Sarabun New"/>
      <family val="2"/>
    </font>
    <font>
      <b/>
      <sz val="12"/>
      <color theme="1"/>
      <name val="TH Sarabun New"/>
      <family val="2"/>
    </font>
    <font>
      <b/>
      <sz val="10"/>
      <color rgb="FFFF0000"/>
      <name val="TH Sarabun New"/>
      <family val="2"/>
    </font>
    <font>
      <b/>
      <sz val="12"/>
      <color rgb="FF00B050"/>
      <name val="TH Sarabun New"/>
      <family val="2"/>
    </font>
    <font>
      <sz val="12"/>
      <color rgb="FFFF0000"/>
      <name val="TH Sarabun New"/>
      <family val="2"/>
    </font>
    <font>
      <b/>
      <sz val="10"/>
      <color rgb="FF00B050"/>
      <name val="TH Sarabun New"/>
      <family val="2"/>
    </font>
    <font>
      <b/>
      <strike/>
      <sz val="12"/>
      <color rgb="FF00B050"/>
      <name val="TH Sarabun New"/>
      <family val="2"/>
    </font>
    <font>
      <b/>
      <strike/>
      <sz val="12"/>
      <color rgb="FFFF0000"/>
      <name val="TH Sarabun New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CAFFF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0">
    <border>
      <start/>
      <end/>
      <top/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medium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/>
      <bottom/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/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/>
      <end style="medium">
        <color indexed="64"/>
      </end>
      <top style="thin">
        <color indexed="64"/>
      </top>
      <bottom/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5" fillId="0" borderId="5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5" borderId="31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left" vertical="center"/>
    </xf>
    <xf numFmtId="0" fontId="12" fillId="0" borderId="35" xfId="0" applyFont="1" applyBorder="1" applyAlignment="1">
      <alignment horizontal="right" vertical="center" wrapText="1"/>
    </xf>
    <xf numFmtId="0" fontId="3" fillId="0" borderId="37" xfId="0" applyFont="1" applyBorder="1" applyAlignment="1">
      <alignment horizontal="right" vertical="center"/>
    </xf>
    <xf numFmtId="0" fontId="3" fillId="5" borderId="38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right" vertical="center" wrapText="1"/>
    </xf>
    <xf numFmtId="0" fontId="4" fillId="0" borderId="34" xfId="0" applyFont="1" applyBorder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 wrapText="1"/>
    </xf>
    <xf numFmtId="0" fontId="4" fillId="0" borderId="39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5" borderId="40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right" vertical="center"/>
    </xf>
    <xf numFmtId="0" fontId="3" fillId="0" borderId="42" xfId="0" applyFont="1" applyBorder="1" applyAlignment="1">
      <alignment horizontal="right" vertical="center" wrapText="1"/>
    </xf>
    <xf numFmtId="0" fontId="12" fillId="0" borderId="43" xfId="0" applyFont="1" applyBorder="1" applyAlignment="1">
      <alignment horizontal="right" vertical="center" wrapText="1"/>
    </xf>
    <xf numFmtId="0" fontId="3" fillId="0" borderId="44" xfId="0" applyFont="1" applyBorder="1" applyAlignment="1">
      <alignment horizontal="right" vertical="center"/>
    </xf>
    <xf numFmtId="0" fontId="3" fillId="0" borderId="45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5" fillId="4" borderId="5" xfId="0" quotePrefix="1" applyFont="1" applyFill="1" applyBorder="1" applyAlignment="1">
      <alignment horizontal="left" vertical="center"/>
    </xf>
    <xf numFmtId="0" fontId="5" fillId="7" borderId="3" xfId="0" applyFont="1" applyFill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quotePrefix="1" applyFont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quotePrefix="1" applyFont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right" vertical="center" wrapText="1"/>
    </xf>
    <xf numFmtId="0" fontId="3" fillId="0" borderId="49" xfId="0" applyFont="1" applyBorder="1" applyAlignment="1">
      <alignment horizontal="right" vertical="center"/>
    </xf>
    <xf numFmtId="0" fontId="9" fillId="0" borderId="20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44" xfId="0" applyFont="1" applyBorder="1" applyAlignment="1">
      <alignment horizontal="right" vertical="center"/>
    </xf>
    <xf numFmtId="0" fontId="12" fillId="5" borderId="40" xfId="0" applyFont="1" applyFill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10" fillId="0" borderId="4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16" fillId="11" borderId="28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7" borderId="44" xfId="0" applyFont="1" applyFill="1" applyBorder="1" applyAlignment="1">
      <alignment vertical="center"/>
    </xf>
    <xf numFmtId="0" fontId="9" fillId="7" borderId="15" xfId="0" applyFont="1" applyFill="1" applyBorder="1" applyAlignment="1">
      <alignment vertical="center"/>
    </xf>
    <xf numFmtId="0" fontId="9" fillId="7" borderId="40" xfId="0" applyFont="1" applyFill="1" applyBorder="1" applyAlignment="1">
      <alignment vertical="center"/>
    </xf>
    <xf numFmtId="0" fontId="9" fillId="3" borderId="44" xfId="0" applyFont="1" applyFill="1" applyBorder="1" applyAlignment="1">
      <alignment vertical="center"/>
    </xf>
    <xf numFmtId="0" fontId="9" fillId="3" borderId="40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vertical="center"/>
    </xf>
    <xf numFmtId="0" fontId="9" fillId="13" borderId="2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F3CD"/>
      <color rgb="FFFFFF99"/>
      <color rgb="FFCAFFFE"/>
      <color rgb="FFFFE7FF"/>
      <color rgb="FF33CCFF"/>
      <color rgb="FFFCB188"/>
      <color rgb="FFA1FDFD"/>
      <color rgb="FFFFB7FF"/>
      <color rgb="FFB3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5FD0-732C-8B45-AF13-A00F012E8841}">
  <dimension ref="B1:AI61"/>
  <sheetViews>
    <sheetView tabSelected="1" view="pageBreakPreview" zoomScale="130" zoomScaleNormal="85" zoomScaleSheetLayoutView="130" workbookViewId="0">
      <selection activeCell="O4" sqref="O4"/>
    </sheetView>
  </sheetViews>
  <sheetFormatPr baseColWidth="10" defaultColWidth="8.83203125" defaultRowHeight="21" x14ac:dyDescent="0.2"/>
  <cols>
    <col min="1" max="1" width="2.83203125" style="9" customWidth="1"/>
    <col min="2" max="2" width="20.6640625" style="9" customWidth="1"/>
    <col min="3" max="33" width="3.33203125" style="9" customWidth="1"/>
    <col min="34" max="34" width="5.6640625" style="54" customWidth="1"/>
    <col min="35" max="35" width="5.1640625" style="40" customWidth="1"/>
    <col min="36" max="36" width="4.33203125" style="9" customWidth="1"/>
    <col min="37" max="40" width="3.6640625" style="9" customWidth="1"/>
    <col min="41" max="16384" width="8.83203125" style="9"/>
  </cols>
  <sheetData>
    <row r="1" spans="2:35" ht="30" customHeight="1" thickBot="1" x14ac:dyDescent="0.25">
      <c r="B1" s="229" t="s">
        <v>24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</row>
    <row r="2" spans="2:35" ht="16.25" customHeight="1" x14ac:dyDescent="0.2">
      <c r="B2" s="154" t="s">
        <v>0</v>
      </c>
      <c r="C2" s="27">
        <v>1</v>
      </c>
      <c r="D2" s="28">
        <f>C2+1</f>
        <v>2</v>
      </c>
      <c r="E2" s="28">
        <f t="shared" ref="E2:AE2" si="0">D2+1</f>
        <v>3</v>
      </c>
      <c r="F2" s="59">
        <f t="shared" si="0"/>
        <v>4</v>
      </c>
      <c r="G2" s="27">
        <f t="shared" si="0"/>
        <v>5</v>
      </c>
      <c r="H2" s="28">
        <f t="shared" si="0"/>
        <v>6</v>
      </c>
      <c r="I2" s="28">
        <f t="shared" si="0"/>
        <v>7</v>
      </c>
      <c r="J2" s="28">
        <f t="shared" si="0"/>
        <v>8</v>
      </c>
      <c r="K2" s="28">
        <f t="shared" si="0"/>
        <v>9</v>
      </c>
      <c r="L2" s="28">
        <f t="shared" si="0"/>
        <v>10</v>
      </c>
      <c r="M2" s="29">
        <f t="shared" si="0"/>
        <v>11</v>
      </c>
      <c r="N2" s="30">
        <f t="shared" si="0"/>
        <v>12</v>
      </c>
      <c r="O2" s="31">
        <f t="shared" si="0"/>
        <v>13</v>
      </c>
      <c r="P2" s="28">
        <f t="shared" si="0"/>
        <v>14</v>
      </c>
      <c r="Q2" s="28">
        <f t="shared" si="0"/>
        <v>15</v>
      </c>
      <c r="R2" s="28">
        <f t="shared" si="0"/>
        <v>16</v>
      </c>
      <c r="S2" s="28">
        <f t="shared" si="0"/>
        <v>17</v>
      </c>
      <c r="T2" s="59">
        <f t="shared" si="0"/>
        <v>18</v>
      </c>
      <c r="U2" s="15">
        <f t="shared" si="0"/>
        <v>19</v>
      </c>
      <c r="V2" s="16">
        <f t="shared" si="0"/>
        <v>20</v>
      </c>
      <c r="W2" s="16">
        <f t="shared" si="0"/>
        <v>21</v>
      </c>
      <c r="X2" s="16">
        <f t="shared" si="0"/>
        <v>22</v>
      </c>
      <c r="Y2" s="23">
        <f t="shared" si="0"/>
        <v>23</v>
      </c>
      <c r="Z2" s="28">
        <f t="shared" si="0"/>
        <v>24</v>
      </c>
      <c r="AA2" s="29">
        <f t="shared" si="0"/>
        <v>25</v>
      </c>
      <c r="AB2" s="30">
        <f t="shared" si="0"/>
        <v>26</v>
      </c>
      <c r="AC2" s="28">
        <f t="shared" si="0"/>
        <v>27</v>
      </c>
      <c r="AD2" s="28">
        <f t="shared" si="0"/>
        <v>28</v>
      </c>
      <c r="AE2" s="28">
        <f t="shared" si="0"/>
        <v>29</v>
      </c>
      <c r="AF2" s="28">
        <v>30</v>
      </c>
      <c r="AG2" s="59">
        <v>31</v>
      </c>
      <c r="AH2" s="230" t="s">
        <v>1</v>
      </c>
      <c r="AI2" s="231"/>
    </row>
    <row r="3" spans="2:35" ht="16.5" customHeight="1" thickBot="1" x14ac:dyDescent="0.25">
      <c r="B3" s="32" t="s">
        <v>2</v>
      </c>
      <c r="C3" s="52" t="s">
        <v>6</v>
      </c>
      <c r="D3" s="53" t="s">
        <v>7</v>
      </c>
      <c r="E3" s="35" t="s">
        <v>8</v>
      </c>
      <c r="F3" s="39" t="s">
        <v>9</v>
      </c>
      <c r="G3" s="33" t="s">
        <v>3</v>
      </c>
      <c r="H3" s="34" t="s">
        <v>4</v>
      </c>
      <c r="I3" s="34" t="s">
        <v>5</v>
      </c>
      <c r="J3" s="34" t="s">
        <v>6</v>
      </c>
      <c r="K3" s="34" t="s">
        <v>7</v>
      </c>
      <c r="L3" s="35" t="s">
        <v>8</v>
      </c>
      <c r="M3" s="36" t="s">
        <v>9</v>
      </c>
      <c r="N3" s="37" t="s">
        <v>3</v>
      </c>
      <c r="O3" s="38" t="s">
        <v>4</v>
      </c>
      <c r="P3" s="34" t="s">
        <v>5</v>
      </c>
      <c r="Q3" s="34" t="s">
        <v>6</v>
      </c>
      <c r="R3" s="34" t="s">
        <v>7</v>
      </c>
      <c r="S3" s="35" t="s">
        <v>8</v>
      </c>
      <c r="T3" s="39" t="s">
        <v>9</v>
      </c>
      <c r="U3" s="33" t="s">
        <v>3</v>
      </c>
      <c r="V3" s="34" t="s">
        <v>4</v>
      </c>
      <c r="W3" s="34" t="s">
        <v>5</v>
      </c>
      <c r="X3" s="34" t="s">
        <v>6</v>
      </c>
      <c r="Y3" s="38" t="s">
        <v>7</v>
      </c>
      <c r="Z3" s="35" t="s">
        <v>8</v>
      </c>
      <c r="AA3" s="36" t="s">
        <v>9</v>
      </c>
      <c r="AB3" s="37" t="s">
        <v>3</v>
      </c>
      <c r="AC3" s="34" t="s">
        <v>4</v>
      </c>
      <c r="AD3" s="34" t="s">
        <v>5</v>
      </c>
      <c r="AE3" s="34" t="s">
        <v>6</v>
      </c>
      <c r="AF3" s="34" t="s">
        <v>7</v>
      </c>
      <c r="AG3" s="39" t="s">
        <v>8</v>
      </c>
      <c r="AH3" s="75" t="s">
        <v>10</v>
      </c>
      <c r="AI3" s="81" t="e" cm="1">
        <f t="array" aca="1" ref="AI3" ca="1">"("&amp; IF(IsFontRed(C3),0,8)+IF(IsFontRed(D3),0,8)+IF(IsFontRed(E3),0,8)+IF(IsFontRed(F3),0,8)+IF(IsFontRed(G3),0,8)+IF(IsFontRed(H3),0,8)+IF(IsFontRed(I3),0,8)+IF(IsFontRed(J3),0,8)+IF(IsFontRed(K3),0,8)+IF(IsFontRed(L3),0,8)+IF(IsFontRed(M3),0,8)+IF(IsFontRed(N3),0,8)+IF(IsFontRed(O3),0,8)+IF(IsFontRed(P3),0,8)+IF(IsFontRed(Q3), 0, 8)+IF(IsFontRed(R3), 0, 8)+IF(IsFontRed(S3), 0, 8)+IF(IsFontRed(T3), 0, 8)+IF(IsFontRed(U3), 0, 8)+IF(IsFontRed(V3), 0, 8)+IF(IsFontRed(W3), 0, 8)+IF(IsFontRed(X3), 0, 8)+IF(IsFontRed(Y3), 0, 8)+IF(IsFontRed(Z3), 0, 8)+IF(IsFontRed(AA3), 0, 8)+IF(IsFontRed(AB3), 0, 8)+IF(IsFontRed(AC3), 0, 8)+IF(IsFontRed(AD3), 0, 8)+IF(IsFontRed(AE3), 0, 8)+IF(IsFontRed(AF3), 0, 8)+IF(IsFontRed(AG3), 0, 8) &amp;")"</f>
        <v>#NAME?</v>
      </c>
    </row>
    <row r="4" spans="2:35" ht="15.5" customHeight="1" x14ac:dyDescent="0.2">
      <c r="B4" s="1" t="s">
        <v>11</v>
      </c>
      <c r="C4" s="2" t="s">
        <v>13</v>
      </c>
      <c r="D4" s="3" t="s">
        <v>60</v>
      </c>
      <c r="E4" s="3" t="s">
        <v>60</v>
      </c>
      <c r="F4" s="60" t="s">
        <v>13</v>
      </c>
      <c r="G4" s="2" t="s">
        <v>13</v>
      </c>
      <c r="H4" s="3" t="s">
        <v>60</v>
      </c>
      <c r="I4" s="3" t="s">
        <v>60</v>
      </c>
      <c r="J4" s="3" t="s">
        <v>13</v>
      </c>
      <c r="K4" s="3" t="s">
        <v>13</v>
      </c>
      <c r="L4" s="3" t="s">
        <v>60</v>
      </c>
      <c r="M4" s="3" t="s">
        <v>60</v>
      </c>
      <c r="N4" s="5" t="s">
        <v>13</v>
      </c>
      <c r="O4" s="3" t="s">
        <v>13</v>
      </c>
      <c r="P4" s="3" t="s">
        <v>60</v>
      </c>
      <c r="Q4" s="3" t="s">
        <v>60</v>
      </c>
      <c r="R4" s="3" t="s">
        <v>13</v>
      </c>
      <c r="S4" s="3" t="s">
        <v>13</v>
      </c>
      <c r="T4" s="3" t="s">
        <v>60</v>
      </c>
      <c r="U4" s="3" t="s">
        <v>60</v>
      </c>
      <c r="V4" s="3" t="s">
        <v>13</v>
      </c>
      <c r="W4" s="3" t="s">
        <v>13</v>
      </c>
      <c r="X4" s="3" t="s">
        <v>60</v>
      </c>
      <c r="Y4" s="3" t="s">
        <v>60</v>
      </c>
      <c r="Z4" s="3" t="s">
        <v>13</v>
      </c>
      <c r="AA4" s="4" t="s">
        <v>13</v>
      </c>
      <c r="AB4" s="20" t="s">
        <v>61</v>
      </c>
      <c r="AC4" s="7" t="s">
        <v>12</v>
      </c>
      <c r="AD4" s="7" t="s">
        <v>12</v>
      </c>
      <c r="AE4" s="7" t="s">
        <v>62</v>
      </c>
      <c r="AF4" s="7" t="s">
        <v>61</v>
      </c>
      <c r="AG4" s="24" t="s">
        <v>12</v>
      </c>
      <c r="AH4" s="82">
        <f>((((COUNTIF(C4:AG4,"Od")*0)+(COUNT(C4:AG4,"Os")*0)+(COUNTIF(C4:AG4,"D")*8)+(COUNTIF(C4:AG4,"0D")*8)+(COUNTIF(C4:AG4,"M")*12)+(COUNTIF(C4:AG4,"N")*12))+((COUNTIF(C6:AG6,"D")*8)+(COUNTIF(C6:AG6,"M")*12)+(COUNTIF(C6:AG6,"N")*12)))-(COUNTIF(C6:AG6,"V")*8)-(COUNTIF(C6:AG6,"VC")*8))</f>
        <v>0</v>
      </c>
      <c r="AI4" s="83" t="e">
        <f ca="1">"("&amp; AH4-(SUBSTITUTE(SUBSTITUTE(AI3, "(", ""), ")", ""))&amp;")"</f>
        <v>#NAME?</v>
      </c>
    </row>
    <row r="5" spans="2:35" s="55" customFormat="1" ht="15.5" customHeight="1" x14ac:dyDescent="0.2">
      <c r="B5" s="67">
        <v>74652</v>
      </c>
      <c r="C5" s="146"/>
      <c r="D5" s="144"/>
      <c r="E5" s="144"/>
      <c r="F5" s="145"/>
      <c r="G5" s="146"/>
      <c r="H5" s="144"/>
      <c r="I5" s="144"/>
      <c r="J5" s="144"/>
      <c r="K5" s="144"/>
      <c r="L5" s="144"/>
      <c r="M5" s="147"/>
      <c r="N5" s="166" t="s">
        <v>61</v>
      </c>
      <c r="O5" s="144"/>
      <c r="P5" s="144" t="s">
        <v>62</v>
      </c>
      <c r="Q5" s="3" t="s">
        <v>61</v>
      </c>
      <c r="R5" s="3" t="s">
        <v>61</v>
      </c>
      <c r="S5" s="3" t="s">
        <v>61</v>
      </c>
      <c r="T5" s="145"/>
      <c r="U5" s="146"/>
      <c r="V5" s="144"/>
      <c r="W5" s="144" t="s">
        <v>61</v>
      </c>
      <c r="X5" s="144" t="s">
        <v>61</v>
      </c>
      <c r="Y5" s="144"/>
      <c r="Z5" s="144"/>
      <c r="AA5" s="147"/>
      <c r="AB5" s="148"/>
      <c r="AC5" s="144"/>
      <c r="AD5" s="144"/>
      <c r="AE5" s="144"/>
      <c r="AF5" s="144"/>
      <c r="AG5" s="145"/>
      <c r="AH5" s="74" t="s">
        <v>26</v>
      </c>
      <c r="AI5" s="79" t="str">
        <f>"("&amp;(COUNTIF(C5:AG5,"M")*12)+(COUNTIF(C5:AG5,"N")*12)+(COUNTIF(C5:AG5,"M1")*6)+(COUNTIF(C5:AG5,"M2")*6)+(COUNTIF(C5:AG5,"N1")*6)+(COUNTIF(C5:AG5,"N2")*6)+(COUNTIF(C5:AG5,"D")*8)+SUM(C5:AG5)&amp;")"</f>
        <v>(0)</v>
      </c>
    </row>
    <row r="6" spans="2:35" s="44" customFormat="1" ht="15.5" customHeight="1" thickBot="1" x14ac:dyDescent="0.25">
      <c r="B6" s="151" t="s">
        <v>46</v>
      </c>
      <c r="C6" s="208" t="s">
        <v>14</v>
      </c>
      <c r="D6" s="208"/>
      <c r="E6" s="208"/>
      <c r="F6" s="208"/>
      <c r="G6" s="208"/>
      <c r="H6" s="208"/>
      <c r="I6" s="208"/>
      <c r="J6" s="208"/>
      <c r="K6" s="208"/>
      <c r="L6" s="211" t="s">
        <v>15</v>
      </c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51"/>
      <c r="AC6" s="46"/>
      <c r="AD6" s="46"/>
      <c r="AE6" s="46"/>
      <c r="AF6" s="46"/>
      <c r="AG6" s="47"/>
      <c r="AH6" s="84" t="s">
        <v>27</v>
      </c>
      <c r="AI6" s="85">
        <f>AH4+(SUBSTITUTE(SUBSTITUTE(AI5, "(", ""), ")", ""))</f>
        <v>0</v>
      </c>
    </row>
    <row r="7" spans="2:35" ht="15.5" customHeight="1" x14ac:dyDescent="0.2">
      <c r="B7" s="10" t="s">
        <v>16</v>
      </c>
      <c r="C7" s="6" t="s">
        <v>12</v>
      </c>
      <c r="D7" s="7" t="s">
        <v>12</v>
      </c>
      <c r="E7" s="7" t="s">
        <v>62</v>
      </c>
      <c r="F7" s="24" t="s">
        <v>61</v>
      </c>
      <c r="G7" s="6" t="s">
        <v>12</v>
      </c>
      <c r="H7" s="7" t="s">
        <v>12</v>
      </c>
      <c r="I7" s="7" t="s">
        <v>62</v>
      </c>
      <c r="J7" s="7" t="s">
        <v>61</v>
      </c>
      <c r="K7" s="7" t="s">
        <v>12</v>
      </c>
      <c r="L7" s="19" t="s">
        <v>12</v>
      </c>
      <c r="M7" s="207" t="s">
        <v>63</v>
      </c>
      <c r="N7" s="209" t="s">
        <v>64</v>
      </c>
      <c r="O7" s="19" t="s">
        <v>12</v>
      </c>
      <c r="P7" s="19" t="s">
        <v>12</v>
      </c>
      <c r="Q7" s="207" t="s">
        <v>63</v>
      </c>
      <c r="R7" s="209" t="s">
        <v>64</v>
      </c>
      <c r="S7" s="19" t="s">
        <v>12</v>
      </c>
      <c r="T7" s="63" t="s">
        <v>12</v>
      </c>
      <c r="U7" s="207" t="s">
        <v>63</v>
      </c>
      <c r="V7" s="209" t="s">
        <v>64</v>
      </c>
      <c r="W7" s="19" t="s">
        <v>12</v>
      </c>
      <c r="X7" s="19" t="s">
        <v>12</v>
      </c>
      <c r="Y7" s="207" t="s">
        <v>63</v>
      </c>
      <c r="Z7" s="209" t="s">
        <v>64</v>
      </c>
      <c r="AA7" s="207" t="s">
        <v>12</v>
      </c>
      <c r="AB7" s="22" t="s">
        <v>60</v>
      </c>
      <c r="AC7" s="22" t="s">
        <v>60</v>
      </c>
      <c r="AD7" s="16" t="s">
        <v>13</v>
      </c>
      <c r="AE7" s="16" t="s">
        <v>13</v>
      </c>
      <c r="AF7" s="22" t="s">
        <v>60</v>
      </c>
      <c r="AG7" s="22" t="s">
        <v>60</v>
      </c>
      <c r="AH7" s="77">
        <f>((((COUNTIF(C7:AG7,"Od")*0)+(COUNT(C7:AG7,"Os")*0)+(COUNTIF(C7:AG7,"D")*8)+(COUNTIF(C7:AG7,"0D")*8)+(COUNTIF(C7:AG7,"M")*12)+(COUNTIF(C7:AG7,"N")*12))+((COUNTIF(C9:AG9,"D")*8)+(COUNTIF(C9:AG9,"M")*12)+(COUNTIF(C9:AG9,"N")*12)))-(COUNTIF(C9:AG9,"V")*8)-(COUNTIF(C9:AG9,"VC")*8))</f>
        <v>0</v>
      </c>
      <c r="AI7" s="78" t="e">
        <f ca="1">"("&amp; AH7-(SUBSTITUTE(SUBSTITUTE(AI3, "(", ""), ")", ""))&amp;")"</f>
        <v>#NAME?</v>
      </c>
    </row>
    <row r="8" spans="2:35" s="55" customFormat="1" ht="15.5" customHeight="1" x14ac:dyDescent="0.2">
      <c r="B8" s="67">
        <v>151640</v>
      </c>
      <c r="C8" s="146"/>
      <c r="D8" s="144" t="s">
        <v>62</v>
      </c>
      <c r="E8" s="144"/>
      <c r="F8" s="145"/>
      <c r="G8" s="146"/>
      <c r="H8" s="144"/>
      <c r="I8" s="144"/>
      <c r="J8" s="144"/>
      <c r="K8" s="144" t="s">
        <v>61</v>
      </c>
      <c r="L8" s="144"/>
      <c r="M8" s="147"/>
      <c r="N8" s="148"/>
      <c r="O8" s="144"/>
      <c r="P8" s="144"/>
      <c r="Q8" s="144"/>
      <c r="R8" s="144"/>
      <c r="S8" s="144"/>
      <c r="T8" s="145"/>
      <c r="U8" s="146"/>
      <c r="V8" s="144"/>
      <c r="W8" s="144"/>
      <c r="X8" s="144"/>
      <c r="Y8" s="144"/>
      <c r="Z8" s="144"/>
      <c r="AA8" s="147"/>
      <c r="AB8" s="148"/>
      <c r="AC8" s="144"/>
      <c r="AD8" s="144"/>
      <c r="AE8" s="144"/>
      <c r="AF8" s="144"/>
      <c r="AG8" s="145"/>
      <c r="AH8" s="74" t="s">
        <v>26</v>
      </c>
      <c r="AI8" s="79" t="str">
        <f>"("&amp;(COUNTIF(C8:AG8,"M")*12)+(COUNTIF(C8:AG8,"N")*12)+(COUNTIF(C8:AG8,"M1")*6)+(COUNTIF(C8:AG8,"M2")*6)+(COUNTIF(C8:AG8,"N1")*6)+(COUNTIF(C8:AG8,"N2")*6)+(COUNTIF(C8:AG8,"D")*8)+SUM(C8:AG8)&amp;")"</f>
        <v>(0)</v>
      </c>
    </row>
    <row r="9" spans="2:35" s="44" customFormat="1" ht="15.5" customHeight="1" thickBot="1" x14ac:dyDescent="0.25">
      <c r="B9" s="152" t="s">
        <v>47</v>
      </c>
      <c r="C9" s="48"/>
      <c r="D9" s="49"/>
      <c r="E9" s="49"/>
      <c r="F9" s="62"/>
      <c r="G9" s="48"/>
      <c r="H9" s="49"/>
      <c r="I9" s="49"/>
      <c r="J9" s="49"/>
      <c r="K9" s="49"/>
      <c r="L9" s="210" t="s">
        <v>18</v>
      </c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08" t="s">
        <v>14</v>
      </c>
      <c r="AC9" s="208"/>
      <c r="AD9" s="208"/>
      <c r="AE9" s="208"/>
      <c r="AF9" s="208"/>
      <c r="AG9" s="208"/>
      <c r="AH9" s="54" t="s">
        <v>27</v>
      </c>
      <c r="AI9" s="72">
        <f>AH7+(SUBSTITUTE(SUBSTITUTE(AI8, "(", ""), ")", ""))</f>
        <v>0</v>
      </c>
    </row>
    <row r="10" spans="2:35" ht="15.5" customHeight="1" x14ac:dyDescent="0.2">
      <c r="B10" s="17" t="s">
        <v>17</v>
      </c>
      <c r="C10" s="18" t="s">
        <v>12</v>
      </c>
      <c r="D10" s="19" t="s">
        <v>12</v>
      </c>
      <c r="E10" s="19" t="s">
        <v>63</v>
      </c>
      <c r="F10" s="63" t="s">
        <v>64</v>
      </c>
      <c r="G10" s="18" t="s">
        <v>12</v>
      </c>
      <c r="H10" s="19" t="s">
        <v>12</v>
      </c>
      <c r="I10" s="19" t="s">
        <v>63</v>
      </c>
      <c r="J10" s="63" t="s">
        <v>64</v>
      </c>
      <c r="K10" s="19" t="s">
        <v>12</v>
      </c>
      <c r="L10" s="7" t="s">
        <v>12</v>
      </c>
      <c r="M10" s="8" t="s">
        <v>62</v>
      </c>
      <c r="N10" s="20" t="s">
        <v>61</v>
      </c>
      <c r="O10" s="7" t="s">
        <v>12</v>
      </c>
      <c r="P10" s="7" t="s">
        <v>12</v>
      </c>
      <c r="Q10" s="8" t="s">
        <v>62</v>
      </c>
      <c r="R10" s="20" t="s">
        <v>61</v>
      </c>
      <c r="S10" s="7" t="s">
        <v>12</v>
      </c>
      <c r="T10" s="24" t="s">
        <v>12</v>
      </c>
      <c r="U10" s="8" t="s">
        <v>62</v>
      </c>
      <c r="V10" s="20" t="s">
        <v>61</v>
      </c>
      <c r="W10" s="7" t="s">
        <v>12</v>
      </c>
      <c r="X10" s="7" t="s">
        <v>12</v>
      </c>
      <c r="Y10" s="8" t="s">
        <v>62</v>
      </c>
      <c r="Z10" s="20" t="s">
        <v>61</v>
      </c>
      <c r="AA10" s="8" t="s">
        <v>12</v>
      </c>
      <c r="AB10" s="20" t="s">
        <v>12</v>
      </c>
      <c r="AC10" s="8" t="s">
        <v>62</v>
      </c>
      <c r="AD10" s="20" t="s">
        <v>61</v>
      </c>
      <c r="AE10" s="7" t="s">
        <v>12</v>
      </c>
      <c r="AF10" s="7" t="s">
        <v>12</v>
      </c>
      <c r="AG10" s="8" t="s">
        <v>62</v>
      </c>
      <c r="AH10" s="82">
        <f>((((COUNTIF(C10:AG10,"Od")*0)+(COUNT(C10:AG10,"Os")*0)+(COUNTIF(C10:AG10,"D")*8)+(COUNTIF(C10:AG10,"0D")*8)+(COUNTIF(C10:AG10,"M")*12)+(COUNTIF(C10:AG10,"N")*12))+((COUNTIF(C12:AG12,"D")*8)+(COUNTIF(C12:AG12,"M")*12)+(COUNTIF(C12:AG12,"N")*12)))-(COUNTIF(C12:AG12,"V")*8)-(COUNTIF(C12:AG12,"VC")*8))</f>
        <v>0</v>
      </c>
      <c r="AI10" s="83" t="e">
        <f ca="1">"("&amp; AH10-(SUBSTITUTE(SUBSTITUTE(AI3, "(", ""), ")", ""))&amp;")"</f>
        <v>#NAME?</v>
      </c>
    </row>
    <row r="11" spans="2:35" s="55" customFormat="1" ht="15.5" customHeight="1" x14ac:dyDescent="0.2">
      <c r="B11" s="67">
        <v>356053</v>
      </c>
      <c r="C11" s="146"/>
      <c r="D11" s="144"/>
      <c r="E11" s="144"/>
      <c r="F11" s="145"/>
      <c r="G11" s="146"/>
      <c r="H11" s="144"/>
      <c r="I11" s="144"/>
      <c r="J11" s="144"/>
      <c r="K11" s="144"/>
      <c r="L11" s="168"/>
      <c r="M11" s="176" t="s">
        <v>53</v>
      </c>
      <c r="N11" s="177" t="s">
        <v>53</v>
      </c>
      <c r="O11" s="212"/>
      <c r="P11" s="213"/>
      <c r="Q11" s="175" t="s">
        <v>53</v>
      </c>
      <c r="R11" s="175" t="s">
        <v>53</v>
      </c>
      <c r="S11" s="212"/>
      <c r="T11" s="212" t="s">
        <v>62</v>
      </c>
      <c r="U11" s="214"/>
      <c r="V11" s="212"/>
      <c r="W11" s="212"/>
      <c r="X11" s="212" t="s">
        <v>62</v>
      </c>
      <c r="Y11" s="212"/>
      <c r="Z11" s="212"/>
      <c r="AA11" s="215"/>
      <c r="AB11" s="212" t="s">
        <v>62</v>
      </c>
      <c r="AC11" s="212"/>
      <c r="AD11" s="212"/>
      <c r="AE11" s="212"/>
      <c r="AF11" s="212" t="s">
        <v>62</v>
      </c>
      <c r="AG11" s="216"/>
      <c r="AH11" s="74" t="s">
        <v>26</v>
      </c>
      <c r="AI11" s="79" t="str">
        <f>"("&amp;(COUNTIF(C11:AG11,"M")*12)+(COUNTIF(C11:AG11,"N")*12)+(COUNTIF(C11:AG11,"M1")*6)+(COUNTIF(C11:AG11,"M2")*6)+(COUNTIF(C11:AG11,"N1")*6)+(COUNTIF(C11:AG11,"N2")*6)+(COUNTIF(C11:AG11,"D")*8)+SUM(C11:AG11)&amp;")"</f>
        <v>(0)</v>
      </c>
    </row>
    <row r="12" spans="2:35" s="44" customFormat="1" ht="15.5" customHeight="1" thickBot="1" x14ac:dyDescent="0.25">
      <c r="B12" s="153" t="s">
        <v>48</v>
      </c>
      <c r="C12" s="205" t="s">
        <v>18</v>
      </c>
      <c r="D12" s="203"/>
      <c r="E12" s="203"/>
      <c r="F12" s="203"/>
      <c r="G12" s="203"/>
      <c r="H12" s="203"/>
      <c r="I12" s="203"/>
      <c r="J12" s="203"/>
      <c r="K12" s="206"/>
      <c r="L12" s="175"/>
      <c r="M12" s="217"/>
      <c r="N12" s="217"/>
      <c r="O12" s="217"/>
      <c r="P12" s="217"/>
      <c r="Q12" s="217"/>
      <c r="R12" s="217"/>
      <c r="S12" s="217"/>
      <c r="T12" s="217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89" t="s">
        <v>27</v>
      </c>
      <c r="AI12" s="85">
        <f>AH10+(SUBSTITUTE(SUBSTITUTE(AI11, "(", ""), ")", ""))</f>
        <v>0</v>
      </c>
    </row>
    <row r="13" spans="2:35" ht="15.5" customHeight="1" thickBot="1" x14ac:dyDescent="0.25">
      <c r="B13" s="10" t="s">
        <v>19</v>
      </c>
      <c r="C13" s="11" t="s">
        <v>62</v>
      </c>
      <c r="D13" s="12" t="s">
        <v>61</v>
      </c>
      <c r="E13" s="12" t="s">
        <v>12</v>
      </c>
      <c r="F13" s="26" t="s">
        <v>12</v>
      </c>
      <c r="G13" s="11" t="s">
        <v>62</v>
      </c>
      <c r="H13" s="11" t="s">
        <v>62</v>
      </c>
      <c r="I13" s="12" t="s">
        <v>12</v>
      </c>
      <c r="J13" s="12" t="s">
        <v>12</v>
      </c>
      <c r="K13" s="21" t="s">
        <v>12</v>
      </c>
      <c r="L13" s="16" t="s">
        <v>60</v>
      </c>
      <c r="M13" s="3" t="s">
        <v>60</v>
      </c>
      <c r="N13" s="5" t="s">
        <v>13</v>
      </c>
      <c r="O13" s="3" t="s">
        <v>13</v>
      </c>
      <c r="P13" s="3" t="s">
        <v>60</v>
      </c>
      <c r="Q13" s="3" t="s">
        <v>60</v>
      </c>
      <c r="R13" s="3" t="s">
        <v>13</v>
      </c>
      <c r="S13" s="3" t="s">
        <v>13</v>
      </c>
      <c r="T13" s="3" t="s">
        <v>60</v>
      </c>
      <c r="U13" s="3" t="s">
        <v>60</v>
      </c>
      <c r="V13" s="3" t="s">
        <v>13</v>
      </c>
      <c r="W13" s="3" t="s">
        <v>13</v>
      </c>
      <c r="X13" s="3" t="s">
        <v>60</v>
      </c>
      <c r="Y13" s="3" t="s">
        <v>60</v>
      </c>
      <c r="Z13" s="3" t="s">
        <v>13</v>
      </c>
      <c r="AA13" s="4" t="s">
        <v>13</v>
      </c>
      <c r="AB13" s="3" t="s">
        <v>62</v>
      </c>
      <c r="AC13" s="3" t="s">
        <v>60</v>
      </c>
      <c r="AD13" s="3" t="s">
        <v>13</v>
      </c>
      <c r="AE13" s="3" t="s">
        <v>13</v>
      </c>
      <c r="AF13" s="3" t="s">
        <v>60</v>
      </c>
      <c r="AG13" s="3" t="s">
        <v>60</v>
      </c>
      <c r="AH13" s="77">
        <f>((((COUNTIF(C13:AG13,"Od")*0)+(COUNT(C13:AG13,"Os")*0)+(COUNTIF(C13:AG13,"D")*8)+(COUNTIF(C13:AG13,"0D")*8)+(COUNTIF(C13:AG13,"M")*12)+(COUNTIF(C13:AG13,"N")*12))+((COUNTIF(C15:AG15,"D")*8)+(COUNTIF(C15:AG15,"M")*12)+(COUNTIF(C15:AG15,"N")*12)))-(COUNTIF(C15:AG15,"V")*8)-(COUNTIF(C15:AG15,"VC")*8))</f>
        <v>0</v>
      </c>
      <c r="AI13" s="78" t="e">
        <f ca="1">"("&amp; AH13-(SUBSTITUTE(SUBSTITUTE(AI3, "(", ""), ")", ""))&amp;")"</f>
        <v>#NAME?</v>
      </c>
    </row>
    <row r="14" spans="2:35" s="55" customFormat="1" ht="15.5" customHeight="1" x14ac:dyDescent="0.2">
      <c r="B14" s="67">
        <v>355968</v>
      </c>
      <c r="C14" s="146"/>
      <c r="D14" s="144"/>
      <c r="E14" s="219" t="s">
        <v>61</v>
      </c>
      <c r="F14" s="145"/>
      <c r="G14" s="146"/>
      <c r="H14" s="144"/>
      <c r="I14" s="144" t="s">
        <v>61</v>
      </c>
      <c r="J14" s="144"/>
      <c r="K14" s="144"/>
      <c r="L14" s="144"/>
      <c r="M14" s="147"/>
      <c r="N14" s="148"/>
      <c r="O14" s="144"/>
      <c r="P14" s="144"/>
      <c r="Q14" s="144"/>
      <c r="R14" s="144"/>
      <c r="S14" s="144"/>
      <c r="T14" s="145"/>
      <c r="U14" s="146"/>
      <c r="V14" s="144"/>
      <c r="W14" s="144"/>
      <c r="X14" s="144"/>
      <c r="Y14" s="144"/>
      <c r="Z14" s="144"/>
      <c r="AA14" s="147"/>
      <c r="AB14" s="148"/>
      <c r="AC14" s="144" t="s">
        <v>61</v>
      </c>
      <c r="AD14" s="144"/>
      <c r="AE14" s="144"/>
      <c r="AF14" s="144"/>
      <c r="AG14" s="145" t="s">
        <v>61</v>
      </c>
      <c r="AH14" s="74" t="s">
        <v>26</v>
      </c>
      <c r="AI14" s="79" t="str">
        <f>"("&amp;(COUNTIF(C14:AG14,"M")*12)+(COUNTIF(C14:AG14,"N")*12)+(COUNTIF(C14:AG14,"M1")*6)+(COUNTIF(C14:AG14,"M2")*6)+(COUNTIF(C14:AG14,"N1")*6)+(COUNTIF(C14:AG14,"N2")*6)+(COUNTIF(C14:AG14,"D")*8)+SUM(C14:AG14)&amp;")"</f>
        <v>(0)</v>
      </c>
    </row>
    <row r="15" spans="2:35" s="44" customFormat="1" ht="15.5" customHeight="1" thickBot="1" x14ac:dyDescent="0.25">
      <c r="B15" s="152" t="s">
        <v>49</v>
      </c>
      <c r="C15" s="128"/>
      <c r="D15" s="46"/>
      <c r="E15" s="129"/>
      <c r="F15" s="47"/>
      <c r="G15" s="45"/>
      <c r="H15" s="46"/>
      <c r="I15" s="46"/>
      <c r="J15" s="46"/>
      <c r="K15" s="46"/>
      <c r="L15" s="208" t="s">
        <v>14</v>
      </c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11" t="s">
        <v>15</v>
      </c>
      <c r="AC15" s="211"/>
      <c r="AD15" s="211"/>
      <c r="AE15" s="211"/>
      <c r="AF15" s="211"/>
      <c r="AG15" s="211"/>
      <c r="AH15" s="86" t="s">
        <v>27</v>
      </c>
      <c r="AI15" s="76">
        <f>AH13+(SUBSTITUTE(SUBSTITUTE(AI14, "(", ""), ")", ""))</f>
        <v>0</v>
      </c>
    </row>
    <row r="16" spans="2:35" ht="15.5" customHeight="1" x14ac:dyDescent="0.2">
      <c r="B16" s="99" t="s">
        <v>20</v>
      </c>
      <c r="C16" s="15" t="s">
        <v>13</v>
      </c>
      <c r="D16" s="16" t="s">
        <v>60</v>
      </c>
      <c r="E16" s="16" t="s">
        <v>60</v>
      </c>
      <c r="F16" s="25" t="s">
        <v>13</v>
      </c>
      <c r="G16" s="15" t="s">
        <v>13</v>
      </c>
      <c r="H16" s="16" t="s">
        <v>60</v>
      </c>
      <c r="I16" s="16" t="s">
        <v>60</v>
      </c>
      <c r="J16" s="16" t="s">
        <v>13</v>
      </c>
      <c r="K16" s="16" t="s">
        <v>13</v>
      </c>
      <c r="L16" s="7" t="s">
        <v>61</v>
      </c>
      <c r="M16" s="8" t="s">
        <v>12</v>
      </c>
      <c r="N16" s="20" t="s">
        <v>12</v>
      </c>
      <c r="O16" s="7" t="s">
        <v>62</v>
      </c>
      <c r="P16" s="7" t="s">
        <v>61</v>
      </c>
      <c r="Q16" s="7" t="s">
        <v>12</v>
      </c>
      <c r="R16" s="7" t="s">
        <v>12</v>
      </c>
      <c r="S16" s="7" t="s">
        <v>62</v>
      </c>
      <c r="T16" s="24" t="s">
        <v>61</v>
      </c>
      <c r="U16" s="6" t="s">
        <v>12</v>
      </c>
      <c r="V16" s="7" t="s">
        <v>12</v>
      </c>
      <c r="W16" s="7" t="s">
        <v>62</v>
      </c>
      <c r="X16" s="7" t="s">
        <v>61</v>
      </c>
      <c r="Y16" s="7" t="s">
        <v>12</v>
      </c>
      <c r="Z16" s="7" t="s">
        <v>12</v>
      </c>
      <c r="AA16" s="8" t="s">
        <v>62</v>
      </c>
      <c r="AB16" s="220" t="s">
        <v>12</v>
      </c>
      <c r="AC16" s="118" t="s">
        <v>12</v>
      </c>
      <c r="AD16" s="118" t="s">
        <v>65</v>
      </c>
      <c r="AE16" s="118" t="s">
        <v>66</v>
      </c>
      <c r="AF16" s="118" t="s">
        <v>12</v>
      </c>
      <c r="AG16" s="221" t="s">
        <v>12</v>
      </c>
      <c r="AH16" s="87">
        <f>((((COUNTIF(C16:AG16,"Od")*0)+(COUNT(C16:AG16,"Os")*0)+(COUNTIF(C16:AG16,"D")*8)+(COUNTIF(C16:AG16,"0D")*8)+(COUNTIF(C16:AG16,"M")*12)+(COUNTIF(C16:AG16,"N")*12))+((COUNTIF(C18:AG18,"D")*8)+(COUNTIF(C18:AG18,"M")*12)+(COUNTIF(C18:AG18,"N")*12)))-(COUNTIF(C18:AG18,"V")*8)-(COUNTIF(C18:AG18,"VC")*8))</f>
        <v>0</v>
      </c>
      <c r="AI16" s="83" t="e">
        <f ca="1">"("&amp; AH16-(SUBSTITUTE(SUBSTITUTE(AI3, "(", ""), ")", ""))&amp;")"</f>
        <v>#NAME?</v>
      </c>
    </row>
    <row r="17" spans="2:35" s="55" customFormat="1" ht="15.5" customHeight="1" x14ac:dyDescent="0.2">
      <c r="B17" s="68">
        <v>426556</v>
      </c>
      <c r="C17" s="146"/>
      <c r="D17" s="144"/>
      <c r="E17" s="167" t="s">
        <v>66</v>
      </c>
      <c r="F17" s="167" t="s">
        <v>66</v>
      </c>
      <c r="G17" s="146"/>
      <c r="H17" s="144"/>
      <c r="I17" s="144"/>
      <c r="J17" s="144"/>
      <c r="K17" s="144"/>
      <c r="L17" s="144"/>
      <c r="M17" s="167" t="s">
        <v>61</v>
      </c>
      <c r="N17" s="148"/>
      <c r="O17" s="144"/>
      <c r="P17" s="144"/>
      <c r="Q17" s="144"/>
      <c r="R17" s="167" t="s">
        <v>65</v>
      </c>
      <c r="S17" s="144"/>
      <c r="T17" s="145"/>
      <c r="U17" s="146" t="s">
        <v>61</v>
      </c>
      <c r="V17" s="144"/>
      <c r="W17" s="144"/>
      <c r="X17" s="144" t="s">
        <v>76</v>
      </c>
      <c r="Y17" s="144" t="s">
        <v>61</v>
      </c>
      <c r="Z17" s="144"/>
      <c r="AA17" s="147"/>
      <c r="AB17" s="64"/>
      <c r="AC17" s="56" t="s">
        <v>65</v>
      </c>
      <c r="AD17" s="56"/>
      <c r="AE17" s="56"/>
      <c r="AF17" s="56"/>
      <c r="AG17" s="66"/>
      <c r="AH17" s="88" t="s">
        <v>26</v>
      </c>
      <c r="AI17" s="79" t="str">
        <f>"("&amp;(COUNTIF(C17:AG17,"M")*12)+(COUNTIF(C17:AG17,"N")*12)+(COUNTIF(C17:AG17,"M1")*6)+(COUNTIF(C17:AG17,"M2")*6)+(COUNTIF(C17:AG17,"N1")*6)+(COUNTIF(C17:AG17,"N2")*6)+(COUNTIF(C17:AG17,"D")*8)+SUM(C17:AG17)&amp;")"</f>
        <v>(0)</v>
      </c>
    </row>
    <row r="18" spans="2:35" s="44" customFormat="1" ht="15.5" customHeight="1" thickBot="1" x14ac:dyDescent="0.25">
      <c r="B18" s="113" t="s">
        <v>38</v>
      </c>
      <c r="C18" s="227" t="s">
        <v>15</v>
      </c>
      <c r="D18" s="227"/>
      <c r="E18" s="227"/>
      <c r="F18" s="227"/>
      <c r="G18" s="227"/>
      <c r="H18" s="227"/>
      <c r="I18" s="227"/>
      <c r="J18" s="227"/>
      <c r="K18" s="227"/>
      <c r="L18" s="46"/>
      <c r="M18" s="50"/>
      <c r="N18" s="51"/>
      <c r="O18" s="46"/>
      <c r="P18" s="46"/>
      <c r="Q18" s="46"/>
      <c r="R18" s="46"/>
      <c r="S18" s="46"/>
      <c r="T18" s="47"/>
      <c r="U18" s="45"/>
      <c r="V18" s="46"/>
      <c r="W18" s="46"/>
      <c r="X18" s="46"/>
      <c r="Y18" s="46"/>
      <c r="Z18" s="46"/>
      <c r="AA18" s="50"/>
      <c r="AB18" s="199" t="s">
        <v>50</v>
      </c>
      <c r="AC18" s="200"/>
      <c r="AD18" s="200"/>
      <c r="AE18" s="200"/>
      <c r="AF18" s="200"/>
      <c r="AG18" s="202"/>
      <c r="AH18" s="89" t="s">
        <v>27</v>
      </c>
      <c r="AI18" s="85">
        <f>AH16+(SUBSTITUTE(SUBSTITUTE(AI17, "(", ""), ")", ""))</f>
        <v>0</v>
      </c>
    </row>
    <row r="19" spans="2:35" ht="15.5" customHeight="1" x14ac:dyDescent="0.2">
      <c r="B19" s="97" t="s">
        <v>21</v>
      </c>
      <c r="C19" s="11" t="s">
        <v>61</v>
      </c>
      <c r="D19" s="12" t="s">
        <v>12</v>
      </c>
      <c r="E19" s="12" t="s">
        <v>12</v>
      </c>
      <c r="F19" s="26" t="s">
        <v>62</v>
      </c>
      <c r="G19" s="11" t="s">
        <v>61</v>
      </c>
      <c r="H19" s="12" t="s">
        <v>12</v>
      </c>
      <c r="I19" s="12" t="s">
        <v>12</v>
      </c>
      <c r="J19" s="26" t="s">
        <v>62</v>
      </c>
      <c r="K19" s="26" t="s">
        <v>62</v>
      </c>
      <c r="L19" s="120" t="s">
        <v>12</v>
      </c>
      <c r="M19" s="121" t="s">
        <v>12</v>
      </c>
      <c r="N19" s="122" t="s">
        <v>65</v>
      </c>
      <c r="O19" s="120" t="s">
        <v>66</v>
      </c>
      <c r="P19" s="120" t="s">
        <v>12</v>
      </c>
      <c r="Q19" s="120" t="s">
        <v>12</v>
      </c>
      <c r="R19" s="122" t="s">
        <v>65</v>
      </c>
      <c r="S19" s="120" t="s">
        <v>66</v>
      </c>
      <c r="T19" s="123" t="s">
        <v>12</v>
      </c>
      <c r="U19" s="124" t="s">
        <v>12</v>
      </c>
      <c r="V19" s="194" t="s">
        <v>65</v>
      </c>
      <c r="W19" s="120" t="s">
        <v>66</v>
      </c>
      <c r="X19" s="120" t="s">
        <v>12</v>
      </c>
      <c r="Y19" s="120" t="s">
        <v>12</v>
      </c>
      <c r="Z19" s="194" t="s">
        <v>65</v>
      </c>
      <c r="AA19" s="120" t="s">
        <v>66</v>
      </c>
      <c r="AB19" s="65" t="s">
        <v>12</v>
      </c>
      <c r="AC19" s="58" t="s">
        <v>63</v>
      </c>
      <c r="AD19" s="58" t="s">
        <v>64</v>
      </c>
      <c r="AE19" s="58" t="s">
        <v>12</v>
      </c>
      <c r="AF19" s="58" t="s">
        <v>12</v>
      </c>
      <c r="AG19" s="58" t="s">
        <v>63</v>
      </c>
      <c r="AH19" s="90">
        <f>((((COUNTIF(C19:AG19,"Od")*0)+(COUNT(C19:AG19,"Os")*0)+(COUNTIF(C19:AG19,"D")*8)+(COUNTIF(C19:AG19,"0D")*8)+(COUNTIF(C19:AG19,"M")*12)+(COUNTIF(C19:AG19,"N")*12))+((COUNTIF(C21:AG21,"D")*8)+(COUNTIF(C21:AG21,"M")*12)+(COUNTIF(C21:AG21,"N")*12)))-(COUNTIF(C21:AG21,"V")*8)-(COUNTIF(C21:AG21,"VC")*8))</f>
        <v>0</v>
      </c>
      <c r="AI19" s="78" t="e">
        <f ca="1">"("&amp; AH19-(SUBSTITUTE(SUBSTITUTE(AI3, "(", ""), ")", ""))&amp;")"</f>
        <v>#NAME?</v>
      </c>
    </row>
    <row r="20" spans="2:35" s="55" customFormat="1" ht="15.5" customHeight="1" x14ac:dyDescent="0.2">
      <c r="B20" s="67">
        <v>456976</v>
      </c>
      <c r="C20" s="57"/>
      <c r="D20" s="56"/>
      <c r="E20" s="56" t="s">
        <v>65</v>
      </c>
      <c r="F20" s="57"/>
      <c r="H20" s="56" t="s">
        <v>61</v>
      </c>
      <c r="I20" s="144"/>
      <c r="J20" s="56"/>
      <c r="K20" s="56"/>
      <c r="L20" s="165" t="s">
        <v>62</v>
      </c>
      <c r="M20" s="64" t="s">
        <v>65</v>
      </c>
      <c r="O20" s="64" t="s">
        <v>53</v>
      </c>
      <c r="P20" s="64"/>
      <c r="Q20" s="64"/>
      <c r="R20" s="64" t="s">
        <v>53</v>
      </c>
      <c r="S20" s="64" t="s">
        <v>53</v>
      </c>
      <c r="T20" s="64"/>
      <c r="U20" s="64"/>
      <c r="V20" s="64" t="s">
        <v>53</v>
      </c>
      <c r="W20" s="64" t="s">
        <v>53</v>
      </c>
      <c r="X20" s="64"/>
      <c r="Y20" s="169"/>
      <c r="Z20" s="64" t="s">
        <v>53</v>
      </c>
      <c r="AA20" s="64"/>
      <c r="AB20" s="64"/>
      <c r="AC20" s="56"/>
      <c r="AD20" s="56"/>
      <c r="AE20" s="56"/>
      <c r="AF20" s="56"/>
      <c r="AG20" s="66"/>
      <c r="AH20" s="88" t="s">
        <v>26</v>
      </c>
      <c r="AI20" s="79" t="str">
        <f>"("&amp;(COUNTIF(C20:AG20,"M")*12)+(COUNTIF(C20:AG20,"N")*12)+(COUNTIF(C20:AG20,"M1")*6)+(COUNTIF(C20:AG20,"M2")*6)+(COUNTIF(C20:AG20,"N1")*6)+(COUNTIF(C20:AG20,"N2")*6)+(COUNTIF(C20:AG20,"D")*8)+SUM(C20:AG20)&amp;")"</f>
        <v>(0)</v>
      </c>
    </row>
    <row r="21" spans="2:35" s="44" customFormat="1" ht="15.5" customHeight="1" thickBot="1" x14ac:dyDescent="0.25">
      <c r="B21" s="112" t="s">
        <v>33</v>
      </c>
      <c r="C21" s="48"/>
      <c r="D21" s="49"/>
      <c r="E21" s="49"/>
      <c r="F21" s="62"/>
      <c r="G21" s="48"/>
      <c r="H21" s="49"/>
      <c r="I21" s="49"/>
      <c r="J21" s="49"/>
      <c r="K21" s="49"/>
      <c r="L21" s="228" t="s">
        <v>67</v>
      </c>
      <c r="M21" s="125"/>
      <c r="N21" s="200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5" t="s">
        <v>18</v>
      </c>
      <c r="AC21" s="203"/>
      <c r="AD21" s="203"/>
      <c r="AE21" s="203"/>
      <c r="AF21" s="203"/>
      <c r="AG21" s="204"/>
      <c r="AH21" s="86" t="s">
        <v>27</v>
      </c>
      <c r="AI21" s="76">
        <f>AH19+(SUBSTITUTE(SUBSTITUTE(AI20, "(", ""), ")", ""))</f>
        <v>0</v>
      </c>
    </row>
    <row r="22" spans="2:35" ht="15.5" customHeight="1" x14ac:dyDescent="0.2">
      <c r="B22" s="100" t="s">
        <v>22</v>
      </c>
      <c r="C22" s="117" t="s">
        <v>66</v>
      </c>
      <c r="D22" s="118" t="s">
        <v>12</v>
      </c>
      <c r="E22" s="118" t="s">
        <v>12</v>
      </c>
      <c r="F22" s="119" t="s">
        <v>65</v>
      </c>
      <c r="G22" s="195" t="s">
        <v>66</v>
      </c>
      <c r="H22" s="118" t="s">
        <v>12</v>
      </c>
      <c r="I22" s="118" t="s">
        <v>12</v>
      </c>
      <c r="J22" s="119" t="s">
        <v>65</v>
      </c>
      <c r="K22" s="195" t="s">
        <v>66</v>
      </c>
      <c r="L22" s="7" t="s">
        <v>12</v>
      </c>
      <c r="M22" s="8" t="s">
        <v>12</v>
      </c>
      <c r="N22" s="20" t="s">
        <v>62</v>
      </c>
      <c r="O22" s="7" t="s">
        <v>61</v>
      </c>
      <c r="P22" s="7" t="s">
        <v>12</v>
      </c>
      <c r="Q22" s="7" t="s">
        <v>12</v>
      </c>
      <c r="R22" s="20" t="s">
        <v>62</v>
      </c>
      <c r="S22" s="7" t="s">
        <v>61</v>
      </c>
      <c r="T22" s="24" t="s">
        <v>12</v>
      </c>
      <c r="U22" s="6" t="s">
        <v>12</v>
      </c>
      <c r="V22" s="20" t="s">
        <v>62</v>
      </c>
      <c r="W22" s="7" t="s">
        <v>61</v>
      </c>
      <c r="X22" s="7" t="s">
        <v>12</v>
      </c>
      <c r="Y22" s="7" t="s">
        <v>12</v>
      </c>
      <c r="Z22" s="20" t="s">
        <v>62</v>
      </c>
      <c r="AA22" s="7" t="s">
        <v>61</v>
      </c>
      <c r="AB22" s="20" t="s">
        <v>12</v>
      </c>
      <c r="AC22" s="7" t="s">
        <v>12</v>
      </c>
      <c r="AD22" s="20" t="s">
        <v>62</v>
      </c>
      <c r="AE22" s="7" t="s">
        <v>61</v>
      </c>
      <c r="AF22" s="7" t="s">
        <v>12</v>
      </c>
      <c r="AG22" s="8" t="s">
        <v>12</v>
      </c>
      <c r="AH22" s="87">
        <f>((((COUNTIF(C22:AG22,"Od")*0)+(COUNT(C22:AG22,"Os")*0)+(COUNTIF(C22:AG22,"D")*8)+(COUNTIF(C22:AG22,"0D")*8)+(COUNTIF(C22:AG22,"M")*12)+(COUNTIF(C22:AG22,"N")*12))+((COUNTIF(C24:AG24,"D")*8)+(COUNTIF(C24:AG24,"M")*12)+(COUNTIF(C24:AG24,"N")*12)))-(COUNTIF(C24:AG24,"V")*8)-(COUNTIF(C24:AG24,"VC")*8))</f>
        <v>0</v>
      </c>
      <c r="AI22" s="83" t="e">
        <f ca="1">"("&amp; AH22-(SUBSTITUTE(SUBSTITUTE(AI3, "(", ""), ")", ""))&amp;")"</f>
        <v>#NAME?</v>
      </c>
    </row>
    <row r="23" spans="2:35" s="55" customFormat="1" ht="15.5" customHeight="1" x14ac:dyDescent="0.2">
      <c r="B23" s="67">
        <v>426862</v>
      </c>
      <c r="C23" s="57"/>
      <c r="D23" s="56"/>
      <c r="E23" s="56"/>
      <c r="F23" s="61"/>
      <c r="G23" s="57"/>
      <c r="H23" s="56"/>
      <c r="J23" s="56"/>
      <c r="K23" s="56"/>
      <c r="L23" s="56"/>
      <c r="M23" s="164" t="s">
        <v>62</v>
      </c>
      <c r="N23" s="64"/>
      <c r="O23" s="56"/>
      <c r="P23" s="56"/>
      <c r="Q23" s="164" t="s">
        <v>62</v>
      </c>
      <c r="R23" s="56"/>
      <c r="S23" s="167" t="s">
        <v>66</v>
      </c>
      <c r="T23" s="66"/>
      <c r="U23" s="196" t="s">
        <v>65</v>
      </c>
      <c r="V23" s="56"/>
      <c r="W23" s="167" t="s">
        <v>66</v>
      </c>
      <c r="X23" s="56"/>
      <c r="Y23" s="196" t="s">
        <v>65</v>
      </c>
      <c r="Z23" s="56"/>
      <c r="AA23" s="66"/>
      <c r="AB23" s="64"/>
      <c r="AC23" s="56"/>
      <c r="AD23" s="56"/>
      <c r="AE23" s="56"/>
      <c r="AF23" s="56"/>
      <c r="AG23" s="66"/>
      <c r="AH23" s="126" t="s">
        <v>26</v>
      </c>
      <c r="AI23" s="80" t="str">
        <f>"("&amp;(COUNTIF(C23:AG23,"M")*12)+(COUNTIF(C23:AG23,"N")*12)+(COUNTIF(C23:AG23,"M1")*6)+(COUNTIF(C23:AG23,"M2")*6)+(COUNTIF(C23:AG23,"N1")*6)+(COUNTIF(C23:AG23,"N2")*6)+(COUNTIF(C23:AG23,"D")*8)+SUM(C23:AG23)&amp;")"</f>
        <v>(0)</v>
      </c>
    </row>
    <row r="24" spans="2:35" s="44" customFormat="1" ht="15.5" customHeight="1" thickBot="1" x14ac:dyDescent="0.25">
      <c r="B24" s="112" t="s">
        <v>34</v>
      </c>
      <c r="C24" s="226" t="s">
        <v>50</v>
      </c>
      <c r="D24" s="226"/>
      <c r="E24" s="226"/>
      <c r="F24" s="226"/>
      <c r="G24" s="226"/>
      <c r="H24" s="226"/>
      <c r="I24" s="226"/>
      <c r="J24" s="226"/>
      <c r="K24" s="226"/>
      <c r="L24" s="46"/>
      <c r="M24" s="50"/>
      <c r="N24" s="157"/>
      <c r="P24" s="46"/>
      <c r="Q24" s="46"/>
      <c r="R24" s="56"/>
      <c r="S24" s="178" t="s">
        <v>68</v>
      </c>
      <c r="T24" s="47"/>
      <c r="U24" s="45"/>
      <c r="V24" s="46"/>
      <c r="W24" s="173" t="s">
        <v>68</v>
      </c>
      <c r="X24" s="46"/>
      <c r="Y24" s="46"/>
      <c r="Z24" s="46"/>
      <c r="AA24" s="50"/>
      <c r="AB24" s="157"/>
      <c r="AC24" s="46"/>
      <c r="AD24" s="46"/>
      <c r="AE24" s="149"/>
      <c r="AF24" s="149"/>
      <c r="AG24" s="150"/>
      <c r="AH24" s="127" t="s">
        <v>27</v>
      </c>
      <c r="AI24" s="73">
        <f>AH22+(SUBSTITUTE(SUBSTITUTE(AI23, "(", ""), ")", ""))</f>
        <v>0</v>
      </c>
    </row>
    <row r="25" spans="2:35" ht="15.5" customHeight="1" x14ac:dyDescent="0.2">
      <c r="B25" s="10" t="s">
        <v>74</v>
      </c>
      <c r="C25" s="222" t="s">
        <v>12</v>
      </c>
      <c r="D25" s="223" t="s">
        <v>62</v>
      </c>
      <c r="E25" s="224" t="s">
        <v>61</v>
      </c>
      <c r="F25" s="225" t="s">
        <v>12</v>
      </c>
      <c r="G25" s="222" t="s">
        <v>12</v>
      </c>
      <c r="H25" s="224" t="s">
        <v>61</v>
      </c>
      <c r="I25" s="224" t="s">
        <v>61</v>
      </c>
      <c r="J25" s="223" t="s">
        <v>12</v>
      </c>
      <c r="K25" s="223" t="s">
        <v>12</v>
      </c>
      <c r="L25" s="105" t="s">
        <v>62</v>
      </c>
      <c r="M25" s="106" t="s">
        <v>61</v>
      </c>
      <c r="N25" s="109" t="s">
        <v>12</v>
      </c>
      <c r="O25" s="105" t="s">
        <v>12</v>
      </c>
      <c r="P25" s="105" t="s">
        <v>62</v>
      </c>
      <c r="Q25" s="106" t="s">
        <v>61</v>
      </c>
      <c r="R25" s="105" t="s">
        <v>12</v>
      </c>
      <c r="S25" s="105" t="s">
        <v>12</v>
      </c>
      <c r="T25" s="105" t="s">
        <v>62</v>
      </c>
      <c r="U25" s="106" t="s">
        <v>61</v>
      </c>
      <c r="V25" s="105" t="s">
        <v>12</v>
      </c>
      <c r="W25" s="105" t="s">
        <v>12</v>
      </c>
      <c r="X25" s="105" t="s">
        <v>62</v>
      </c>
      <c r="Y25" s="106" t="s">
        <v>61</v>
      </c>
      <c r="Z25" s="105" t="s">
        <v>12</v>
      </c>
      <c r="AA25" s="106" t="s">
        <v>12</v>
      </c>
      <c r="AB25" s="105" t="s">
        <v>62</v>
      </c>
      <c r="AC25" s="106" t="s">
        <v>61</v>
      </c>
      <c r="AD25" s="105" t="s">
        <v>12</v>
      </c>
      <c r="AE25" s="105" t="s">
        <v>12</v>
      </c>
      <c r="AF25" s="105" t="s">
        <v>62</v>
      </c>
      <c r="AG25" s="106" t="s">
        <v>61</v>
      </c>
      <c r="AH25" s="87">
        <f>((((COUNTIF(C25:AG25,"Od")*0)+(COUNT(C25:AG25,"Os")*0)+(COUNTIF(C25:AG25,"D")*8)+(COUNTIF(C25:AG25,"0D")*8)+(COUNTIF(C25:AG25,"M")*12)+(COUNTIF(C25:AG25,"N")*12))+((COUNTIF(C27:AG27,"D")*8)+(COUNTIF(C27:AG27,"M")*12)+(COUNTIF(C27:AG27,"N")*12)))-(COUNTIF(C27:AG27,"V")*8)-(COUNTIF(C27:AG27,"VC")*8))</f>
        <v>0</v>
      </c>
      <c r="AI25" s="83" t="e">
        <f ca="1">"("&amp; AH25-(SUBSTITUTE(SUBSTITUTE(AI3, "(", ""), ")", ""))&amp;")"</f>
        <v>#NAME?</v>
      </c>
    </row>
    <row r="26" spans="2:35" s="55" customFormat="1" ht="15.5" customHeight="1" x14ac:dyDescent="0.2">
      <c r="B26" s="67" t="s">
        <v>43</v>
      </c>
      <c r="C26" s="146"/>
      <c r="D26" s="144" t="s">
        <v>47</v>
      </c>
      <c r="E26" s="144" t="s">
        <v>49</v>
      </c>
      <c r="F26" s="145"/>
      <c r="G26" s="146"/>
      <c r="H26" s="144" t="s">
        <v>33</v>
      </c>
      <c r="I26" s="144"/>
      <c r="J26" s="144"/>
      <c r="K26" s="144"/>
      <c r="L26" s="144" t="s">
        <v>38</v>
      </c>
      <c r="M26" s="147" t="s">
        <v>38</v>
      </c>
      <c r="N26" s="148"/>
      <c r="O26" s="144"/>
      <c r="P26" s="144" t="s">
        <v>46</v>
      </c>
      <c r="Q26" s="144" t="s">
        <v>38</v>
      </c>
      <c r="R26" s="144"/>
      <c r="S26" s="144"/>
      <c r="T26" s="145" t="s">
        <v>48</v>
      </c>
      <c r="U26" s="146" t="s">
        <v>38</v>
      </c>
      <c r="V26" s="144"/>
      <c r="W26" s="144"/>
      <c r="X26" s="144" t="s">
        <v>48</v>
      </c>
      <c r="Y26" s="144" t="s">
        <v>38</v>
      </c>
      <c r="Z26" s="144"/>
      <c r="AA26" s="147"/>
      <c r="AB26" s="148" t="s">
        <v>48</v>
      </c>
      <c r="AC26" s="144" t="s">
        <v>49</v>
      </c>
      <c r="AD26" s="144"/>
      <c r="AE26" s="144"/>
      <c r="AF26" s="144" t="s">
        <v>48</v>
      </c>
      <c r="AG26" s="147" t="s">
        <v>49</v>
      </c>
      <c r="AH26" s="126" t="s">
        <v>26</v>
      </c>
      <c r="AI26" s="80" t="str">
        <f>"("&amp;(COUNTIF(C26:AG26,"M")*12)+(COUNTIF(C26:AG26,"N")*12)+(COUNTIF(C26:AG26,"M1")*6)+(COUNTIF(C26:AG26,"M2")*6)+(COUNTIF(C26:AG26,"N1")*6)+(COUNTIF(C26:AG26,"N2")*6)+(COUNTIF(C26:AG26,"D")*8)+SUM(C26:AG26)&amp;")"</f>
        <v>(0)</v>
      </c>
    </row>
    <row r="27" spans="2:35" s="163" customFormat="1" ht="15.5" customHeight="1" thickBot="1" x14ac:dyDescent="0.25">
      <c r="B27" s="174" t="s">
        <v>44</v>
      </c>
      <c r="C27" s="158"/>
      <c r="D27" s="159"/>
      <c r="E27" s="159"/>
      <c r="F27" s="160"/>
      <c r="G27" s="158"/>
      <c r="H27" s="159"/>
      <c r="I27" s="159"/>
      <c r="J27" s="159"/>
      <c r="K27" s="159"/>
      <c r="L27" s="159" t="s">
        <v>33</v>
      </c>
      <c r="M27" s="161"/>
      <c r="N27" s="162"/>
      <c r="O27" s="159"/>
      <c r="P27" s="159"/>
      <c r="Q27" s="159"/>
      <c r="R27" s="159"/>
      <c r="S27" s="159"/>
      <c r="T27" s="160"/>
      <c r="U27" s="158"/>
      <c r="V27" s="159"/>
      <c r="W27" s="159"/>
      <c r="X27" s="159"/>
      <c r="Y27" s="159"/>
      <c r="Z27" s="159"/>
      <c r="AA27" s="161"/>
      <c r="AB27" s="162"/>
      <c r="AC27" s="159"/>
      <c r="AD27" s="159"/>
      <c r="AE27" s="159"/>
      <c r="AF27" s="159"/>
      <c r="AG27" s="161"/>
      <c r="AH27" s="155" t="s">
        <v>27</v>
      </c>
      <c r="AI27" s="156">
        <f>AH25+(SUBSTITUTE(SUBSTITUTE(AI26, "(", ""), ")", ""))</f>
        <v>0</v>
      </c>
    </row>
    <row r="28" spans="2:35" ht="6" customHeight="1" x14ac:dyDescent="0.2"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</row>
    <row r="29" spans="2:35" ht="11.25" customHeight="1" x14ac:dyDescent="0.2">
      <c r="B29" s="233" t="s">
        <v>23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69"/>
    </row>
    <row r="30" spans="2:35" ht="15" customHeight="1" x14ac:dyDescent="0.2">
      <c r="B30" s="9" t="s">
        <v>28</v>
      </c>
      <c r="I30" s="165" t="s">
        <v>55</v>
      </c>
      <c r="J30" s="186" t="s">
        <v>56</v>
      </c>
      <c r="M30" s="144" t="s">
        <v>55</v>
      </c>
      <c r="N30" s="186" t="s">
        <v>58</v>
      </c>
      <c r="R30" s="167" t="s">
        <v>55</v>
      </c>
      <c r="S30" s="186" t="s">
        <v>57</v>
      </c>
      <c r="V30" s="56" t="s">
        <v>55</v>
      </c>
      <c r="W30" s="186" t="s">
        <v>59</v>
      </c>
    </row>
    <row r="31" spans="2:35" ht="12.25" customHeight="1" x14ac:dyDescent="0.2">
      <c r="B31" s="41" t="s">
        <v>25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70"/>
      <c r="AI31" s="69"/>
    </row>
    <row r="32" spans="2:35" ht="7.5" customHeight="1" x14ac:dyDescent="0.2">
      <c r="B32" s="42"/>
      <c r="C32" s="43"/>
    </row>
    <row r="33" spans="2:35" ht="7.5" customHeight="1" x14ac:dyDescent="0.2">
      <c r="B33" s="42"/>
      <c r="C33" s="43"/>
    </row>
    <row r="34" spans="2:35" ht="36.75" customHeight="1" thickBot="1" x14ac:dyDescent="0.25">
      <c r="B34" s="229" t="s">
        <v>39</v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</row>
    <row r="35" spans="2:35" ht="22" customHeight="1" x14ac:dyDescent="0.2">
      <c r="B35" s="154" t="s">
        <v>0</v>
      </c>
      <c r="C35" s="27">
        <v>1</v>
      </c>
      <c r="D35" s="28">
        <f>C35+1</f>
        <v>2</v>
      </c>
      <c r="E35" s="28">
        <f t="shared" ref="E35:AE35" si="1">D35+1</f>
        <v>3</v>
      </c>
      <c r="F35" s="29">
        <f t="shared" si="1"/>
        <v>4</v>
      </c>
      <c r="G35" s="30">
        <f t="shared" si="1"/>
        <v>5</v>
      </c>
      <c r="H35" s="28">
        <f t="shared" si="1"/>
        <v>6</v>
      </c>
      <c r="I35" s="28">
        <f t="shared" si="1"/>
        <v>7</v>
      </c>
      <c r="J35" s="28">
        <f t="shared" si="1"/>
        <v>8</v>
      </c>
      <c r="K35" s="28">
        <f t="shared" si="1"/>
        <v>9</v>
      </c>
      <c r="L35" s="28">
        <f t="shared" si="1"/>
        <v>10</v>
      </c>
      <c r="M35" s="59">
        <f t="shared" si="1"/>
        <v>11</v>
      </c>
      <c r="N35" s="27">
        <f t="shared" si="1"/>
        <v>12</v>
      </c>
      <c r="O35" s="31">
        <f t="shared" si="1"/>
        <v>13</v>
      </c>
      <c r="P35" s="28">
        <f t="shared" si="1"/>
        <v>14</v>
      </c>
      <c r="Q35" s="28">
        <f t="shared" si="1"/>
        <v>15</v>
      </c>
      <c r="R35" s="28">
        <f t="shared" si="1"/>
        <v>16</v>
      </c>
      <c r="S35" s="28">
        <f t="shared" si="1"/>
        <v>17</v>
      </c>
      <c r="T35" s="29">
        <f t="shared" si="1"/>
        <v>18</v>
      </c>
      <c r="U35" s="22">
        <f t="shared" si="1"/>
        <v>19</v>
      </c>
      <c r="V35" s="16">
        <f t="shared" si="1"/>
        <v>20</v>
      </c>
      <c r="W35" s="16">
        <f t="shared" si="1"/>
        <v>21</v>
      </c>
      <c r="X35" s="16">
        <f t="shared" si="1"/>
        <v>22</v>
      </c>
      <c r="Y35" s="23">
        <f t="shared" si="1"/>
        <v>23</v>
      </c>
      <c r="Z35" s="28">
        <f t="shared" si="1"/>
        <v>24</v>
      </c>
      <c r="AA35" s="59">
        <f t="shared" si="1"/>
        <v>25</v>
      </c>
      <c r="AB35" s="27">
        <f t="shared" si="1"/>
        <v>26</v>
      </c>
      <c r="AC35" s="28">
        <f t="shared" si="1"/>
        <v>27</v>
      </c>
      <c r="AD35" s="28">
        <f t="shared" si="1"/>
        <v>28</v>
      </c>
      <c r="AE35" s="28">
        <f t="shared" si="1"/>
        <v>29</v>
      </c>
      <c r="AF35" s="28">
        <v>30</v>
      </c>
      <c r="AG35" s="29">
        <v>31</v>
      </c>
      <c r="AH35" s="234" t="s">
        <v>1</v>
      </c>
      <c r="AI35" s="231"/>
    </row>
    <row r="36" spans="2:35" ht="16.5" customHeight="1" thickBot="1" x14ac:dyDescent="0.25">
      <c r="B36" s="32" t="s">
        <v>40</v>
      </c>
      <c r="C36" s="52" t="s">
        <v>6</v>
      </c>
      <c r="D36" s="53" t="s">
        <v>7</v>
      </c>
      <c r="E36" s="35" t="s">
        <v>8</v>
      </c>
      <c r="F36" s="36" t="s">
        <v>9</v>
      </c>
      <c r="G36" s="102" t="s">
        <v>3</v>
      </c>
      <c r="H36" s="91" t="s">
        <v>4</v>
      </c>
      <c r="I36" s="91" t="s">
        <v>5</v>
      </c>
      <c r="J36" s="91" t="s">
        <v>6</v>
      </c>
      <c r="K36" s="91" t="s">
        <v>7</v>
      </c>
      <c r="L36" s="93" t="s">
        <v>8</v>
      </c>
      <c r="M36" s="101" t="s">
        <v>9</v>
      </c>
      <c r="N36" s="33" t="s">
        <v>3</v>
      </c>
      <c r="O36" s="38" t="s">
        <v>4</v>
      </c>
      <c r="P36" s="34" t="s">
        <v>5</v>
      </c>
      <c r="Q36" s="34" t="s">
        <v>6</v>
      </c>
      <c r="R36" s="34" t="s">
        <v>7</v>
      </c>
      <c r="S36" s="35" t="s">
        <v>8</v>
      </c>
      <c r="T36" s="36" t="s">
        <v>9</v>
      </c>
      <c r="U36" s="102" t="s">
        <v>3</v>
      </c>
      <c r="V36" s="91" t="s">
        <v>4</v>
      </c>
      <c r="W36" s="91" t="s">
        <v>5</v>
      </c>
      <c r="X36" s="91" t="s">
        <v>6</v>
      </c>
      <c r="Y36" s="92" t="s">
        <v>7</v>
      </c>
      <c r="Z36" s="93" t="s">
        <v>8</v>
      </c>
      <c r="AA36" s="101" t="s">
        <v>9</v>
      </c>
      <c r="AB36" s="33" t="s">
        <v>3</v>
      </c>
      <c r="AC36" s="34" t="s">
        <v>4</v>
      </c>
      <c r="AD36" s="34" t="s">
        <v>5</v>
      </c>
      <c r="AE36" s="34" t="s">
        <v>6</v>
      </c>
      <c r="AF36" s="34" t="s">
        <v>7</v>
      </c>
      <c r="AG36" s="36" t="s">
        <v>8</v>
      </c>
      <c r="AH36" s="86" t="s">
        <v>10</v>
      </c>
      <c r="AI36" s="81" t="e" cm="1">
        <f t="array" aca="1" ref="AI36" ca="1">"("&amp; IF(IsFontRed(C36),0,8)+IF(IsFontRed(D36),0,8)+IF(IsFontRed(E36),0,8)+IF(IsFontRed(F36),0,8)+IF(IsFontRed(G36),0,8)+IF(IsFontRed(H36),0,8)+IF(IsFontRed(I36),0,8)+IF(IsFontRed(J36),0,8)+IF(IsFontRed(K36),0,8)+IF(IsFontRed(L36),0,8)+IF(IsFontRed(M36),0,8)+IF(IsFontRed(N36),0,8)+IF(IsFontRed(O36),0,8)+IF(IsFontRed(P36),0,8)+IF(IsFontRed(Q36), 0, 8)+IF(IsFontRed(R36), 0, 8)+IF(IsFontRed(S36), 0, 8)+IF(IsFontRed(T36), 0, 8)+IF(IsFontRed(U36), 0, 8)+IF(IsFontRed(V36), 0, 8)+IF(IsFontRed(W36), 0, 8)+IF(IsFontRed(X36), 0, 8)+IF(IsFontRed(Y36), 0, 8)+IF(IsFontRed(Z36), 0, 8)+IF(IsFontRed(AA36), 0, 8)+IF(IsFontRed(AB36), 0, 8)+IF(IsFontRed(AC36), 0, 8)+IF(IsFontRed(AD36), 0, 8)+IF(IsFontRed(AE36), 0, 8)+IF(IsFontRed(AF36), 0, 8)+IF(IsFontRed(AG36), 0, 8) &amp;")"</f>
        <v>#NAME?</v>
      </c>
    </row>
    <row r="37" spans="2:35" x14ac:dyDescent="0.2">
      <c r="B37" s="97" t="s">
        <v>29</v>
      </c>
      <c r="C37" s="11" t="s">
        <v>69</v>
      </c>
      <c r="D37" s="12" t="s">
        <v>12</v>
      </c>
      <c r="E37" s="12" t="s">
        <v>12</v>
      </c>
      <c r="F37" s="26" t="s">
        <v>70</v>
      </c>
      <c r="G37" s="11" t="s">
        <v>69</v>
      </c>
      <c r="H37" s="12" t="s">
        <v>12</v>
      </c>
      <c r="I37" s="12" t="s">
        <v>12</v>
      </c>
      <c r="J37" s="197" t="s">
        <v>70</v>
      </c>
      <c r="K37" s="11" t="s">
        <v>69</v>
      </c>
      <c r="L37" s="12" t="s">
        <v>12</v>
      </c>
      <c r="M37" s="13" t="s">
        <v>12</v>
      </c>
      <c r="N37" s="197" t="s">
        <v>70</v>
      </c>
      <c r="O37" s="11" t="s">
        <v>69</v>
      </c>
      <c r="P37" s="12" t="s">
        <v>12</v>
      </c>
      <c r="Q37" s="12" t="s">
        <v>12</v>
      </c>
      <c r="R37" s="197" t="s">
        <v>70</v>
      </c>
      <c r="S37" s="11" t="s">
        <v>69</v>
      </c>
      <c r="T37" s="13" t="s">
        <v>12</v>
      </c>
      <c r="U37" s="14" t="s">
        <v>12</v>
      </c>
      <c r="V37" s="197" t="s">
        <v>70</v>
      </c>
      <c r="W37" s="11" t="s">
        <v>69</v>
      </c>
      <c r="X37" s="12" t="s">
        <v>12</v>
      </c>
      <c r="Y37" s="12" t="s">
        <v>12</v>
      </c>
      <c r="Z37" s="197" t="s">
        <v>70</v>
      </c>
      <c r="AA37" s="11" t="s">
        <v>69</v>
      </c>
      <c r="AB37" s="11" t="s">
        <v>12</v>
      </c>
      <c r="AC37" s="12" t="s">
        <v>12</v>
      </c>
      <c r="AD37" s="197" t="s">
        <v>70</v>
      </c>
      <c r="AE37" s="11" t="s">
        <v>69</v>
      </c>
      <c r="AF37" s="12" t="s">
        <v>12</v>
      </c>
      <c r="AG37" s="13" t="s">
        <v>12</v>
      </c>
      <c r="AH37" s="87">
        <f>((((COUNTIF(C37:AG37,"Od")*0)+(COUNT(C37:AG37,"Os")*0)+(COUNTIF(C37:AG37,"D")*8)+(COUNTIF(C37:AG37,"0D")*8)+(COUNTIF(C37:AG37,"M")*12)+(COUNTIF(C37:AG37,"N")*12))+((COUNTIF(C39:AG39,"D")*8)+(COUNTIF(C39:AG39,"M")*12)+(COUNTIF(C39:AG39,"N")*12)))-(COUNTIF(C39:AG39,"V")*8)-(COUNTIF(C39:AG39,"VC")*8))</f>
        <v>0</v>
      </c>
      <c r="AI37" s="83" t="e">
        <f ca="1">"("&amp; AH37-(SUBSTITUTE(SUBSTITUTE(AI36, "(", ""), ")", ""))&amp;")"</f>
        <v>#NAME?</v>
      </c>
    </row>
    <row r="38" spans="2:35" ht="20" thickBot="1" x14ac:dyDescent="0.25">
      <c r="B38" s="67">
        <v>354557</v>
      </c>
      <c r="C38" s="57"/>
      <c r="D38" s="56"/>
      <c r="E38" s="56"/>
      <c r="F38" s="61"/>
      <c r="G38" s="57" t="s">
        <v>71</v>
      </c>
      <c r="H38" s="56"/>
      <c r="I38" s="56" t="s">
        <v>65</v>
      </c>
      <c r="J38" s="56"/>
      <c r="K38" s="56"/>
      <c r="L38" s="56"/>
      <c r="M38" s="66"/>
      <c r="N38" s="57"/>
      <c r="O38" s="167" t="s">
        <v>66</v>
      </c>
      <c r="P38" s="56" t="s">
        <v>71</v>
      </c>
      <c r="Q38" s="56"/>
      <c r="R38" s="178" t="s">
        <v>53</v>
      </c>
      <c r="S38" s="178" t="s">
        <v>53</v>
      </c>
      <c r="T38" s="66"/>
      <c r="U38" s="64"/>
      <c r="V38" s="178" t="s">
        <v>53</v>
      </c>
      <c r="W38" s="178" t="s">
        <v>53</v>
      </c>
      <c r="X38" s="56"/>
      <c r="Y38" s="56"/>
      <c r="Z38" s="56"/>
      <c r="AA38" s="66"/>
      <c r="AB38" s="64"/>
      <c r="AC38" s="56" t="s">
        <v>71</v>
      </c>
      <c r="AD38" s="56"/>
      <c r="AE38" s="56"/>
      <c r="AF38" s="56"/>
      <c r="AG38" s="66" t="s">
        <v>65</v>
      </c>
      <c r="AH38" s="88" t="s">
        <v>26</v>
      </c>
      <c r="AI38" s="79" t="str">
        <f>"("&amp;(COUNTIF(C38:AG38,"M")*12)+(COUNTIF(C38:AG38,"N")*12)+(COUNTIF(C38:AG38,"M1")*6)+(COUNTIF(C38:AG38,"M2")*6)+(COUNTIF(C38:AG38,"N1")*6)+(COUNTIF(C38:AG38,"N2")*6)+(COUNTIF(C38:AG38,"D")*8)+SUM(C38:AG38)&amp;")"</f>
        <v>(0)</v>
      </c>
    </row>
    <row r="39" spans="2:35" s="55" customFormat="1" ht="19" thickBot="1" x14ac:dyDescent="0.25">
      <c r="B39" s="179" t="s">
        <v>35</v>
      </c>
      <c r="C39" s="180"/>
      <c r="D39" s="181"/>
      <c r="E39" s="181"/>
      <c r="F39" s="182"/>
      <c r="G39" s="180" t="s">
        <v>42</v>
      </c>
      <c r="H39" s="181"/>
      <c r="I39" s="181"/>
      <c r="J39" s="181"/>
      <c r="K39" s="181"/>
      <c r="L39" s="181"/>
      <c r="M39" s="183"/>
      <c r="N39" s="180"/>
      <c r="O39" s="178" t="s">
        <v>68</v>
      </c>
      <c r="P39" s="181" t="s">
        <v>42</v>
      </c>
      <c r="Q39" s="181"/>
      <c r="R39" s="181"/>
      <c r="S39" s="181"/>
      <c r="T39" s="183"/>
      <c r="U39" s="180"/>
      <c r="V39" s="181"/>
      <c r="W39" s="181"/>
      <c r="X39" s="181"/>
      <c r="Y39" s="181"/>
      <c r="Z39" s="181"/>
      <c r="AA39" s="183"/>
      <c r="AB39" s="180"/>
      <c r="AC39" s="181" t="s">
        <v>42</v>
      </c>
      <c r="AD39" s="181"/>
      <c r="AE39" s="181"/>
      <c r="AF39" s="181"/>
      <c r="AG39" s="183"/>
      <c r="AH39" s="184" t="s">
        <v>27</v>
      </c>
      <c r="AI39" s="185">
        <f>AH37+(SUBSTITUTE(SUBSTITUTE(AI38, "(", ""), ")", ""))</f>
        <v>0</v>
      </c>
    </row>
    <row r="40" spans="2:35" ht="19" customHeight="1" thickBot="1" x14ac:dyDescent="0.25">
      <c r="U40" s="180"/>
    </row>
    <row r="41" spans="2:35" ht="36.75" customHeight="1" thickBot="1" x14ac:dyDescent="0.25">
      <c r="B41" s="229" t="s">
        <v>30</v>
      </c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</row>
    <row r="42" spans="2:35" ht="22" customHeight="1" x14ac:dyDescent="0.2">
      <c r="B42" s="154" t="s">
        <v>0</v>
      </c>
      <c r="C42" s="27">
        <v>1</v>
      </c>
      <c r="D42" s="28">
        <f>C42+1</f>
        <v>2</v>
      </c>
      <c r="E42" s="28">
        <f t="shared" ref="E42:AE42" si="2">D42+1</f>
        <v>3</v>
      </c>
      <c r="F42" s="59">
        <f t="shared" si="2"/>
        <v>4</v>
      </c>
      <c r="G42" s="27">
        <f t="shared" si="2"/>
        <v>5</v>
      </c>
      <c r="H42" s="28">
        <f t="shared" si="2"/>
        <v>6</v>
      </c>
      <c r="I42" s="28">
        <f t="shared" si="2"/>
        <v>7</v>
      </c>
      <c r="J42" s="28">
        <f t="shared" si="2"/>
        <v>8</v>
      </c>
      <c r="K42" s="28">
        <f t="shared" si="2"/>
        <v>9</v>
      </c>
      <c r="L42" s="28">
        <f t="shared" si="2"/>
        <v>10</v>
      </c>
      <c r="M42" s="29">
        <f t="shared" si="2"/>
        <v>11</v>
      </c>
      <c r="N42" s="30">
        <f t="shared" si="2"/>
        <v>12</v>
      </c>
      <c r="O42" s="31">
        <f t="shared" si="2"/>
        <v>13</v>
      </c>
      <c r="P42" s="28">
        <f t="shared" si="2"/>
        <v>14</v>
      </c>
      <c r="Q42" s="28">
        <f t="shared" si="2"/>
        <v>15</v>
      </c>
      <c r="R42" s="28">
        <f t="shared" si="2"/>
        <v>16</v>
      </c>
      <c r="S42" s="28">
        <f t="shared" si="2"/>
        <v>17</v>
      </c>
      <c r="T42" s="59">
        <f t="shared" si="2"/>
        <v>18</v>
      </c>
      <c r="U42" s="15">
        <f t="shared" si="2"/>
        <v>19</v>
      </c>
      <c r="V42" s="16">
        <f t="shared" si="2"/>
        <v>20</v>
      </c>
      <c r="W42" s="16">
        <f t="shared" si="2"/>
        <v>21</v>
      </c>
      <c r="X42" s="16">
        <f t="shared" si="2"/>
        <v>22</v>
      </c>
      <c r="Y42" s="23">
        <f t="shared" si="2"/>
        <v>23</v>
      </c>
      <c r="Z42" s="28">
        <f t="shared" si="2"/>
        <v>24</v>
      </c>
      <c r="AA42" s="29">
        <f t="shared" si="2"/>
        <v>25</v>
      </c>
      <c r="AB42" s="30">
        <f t="shared" si="2"/>
        <v>26</v>
      </c>
      <c r="AC42" s="28">
        <f t="shared" si="2"/>
        <v>27</v>
      </c>
      <c r="AD42" s="28">
        <f t="shared" si="2"/>
        <v>28</v>
      </c>
      <c r="AE42" s="28">
        <f t="shared" si="2"/>
        <v>29</v>
      </c>
      <c r="AF42" s="28">
        <v>30</v>
      </c>
      <c r="AG42" s="29">
        <v>31</v>
      </c>
      <c r="AH42" s="230" t="s">
        <v>1</v>
      </c>
      <c r="AI42" s="231"/>
    </row>
    <row r="43" spans="2:35" ht="16.5" customHeight="1" thickBot="1" x14ac:dyDescent="0.25">
      <c r="B43" s="32" t="s">
        <v>41</v>
      </c>
      <c r="C43" s="52" t="s">
        <v>6</v>
      </c>
      <c r="D43" s="53" t="s">
        <v>7</v>
      </c>
      <c r="E43" s="35" t="s">
        <v>8</v>
      </c>
      <c r="F43" s="39" t="s">
        <v>9</v>
      </c>
      <c r="G43" s="33" t="s">
        <v>3</v>
      </c>
      <c r="H43" s="34" t="s">
        <v>4</v>
      </c>
      <c r="I43" s="34" t="s">
        <v>5</v>
      </c>
      <c r="J43" s="34" t="s">
        <v>6</v>
      </c>
      <c r="K43" s="34" t="s">
        <v>7</v>
      </c>
      <c r="L43" s="35" t="s">
        <v>8</v>
      </c>
      <c r="M43" s="36" t="s">
        <v>9</v>
      </c>
      <c r="N43" s="37" t="s">
        <v>3</v>
      </c>
      <c r="O43" s="38" t="s">
        <v>4</v>
      </c>
      <c r="P43" s="34" t="s">
        <v>5</v>
      </c>
      <c r="Q43" s="34" t="s">
        <v>6</v>
      </c>
      <c r="R43" s="34" t="s">
        <v>7</v>
      </c>
      <c r="S43" s="35" t="s">
        <v>8</v>
      </c>
      <c r="T43" s="39" t="s">
        <v>9</v>
      </c>
      <c r="U43" s="33" t="s">
        <v>3</v>
      </c>
      <c r="V43" s="34" t="s">
        <v>4</v>
      </c>
      <c r="W43" s="34" t="s">
        <v>5</v>
      </c>
      <c r="X43" s="34" t="s">
        <v>6</v>
      </c>
      <c r="Y43" s="38" t="s">
        <v>7</v>
      </c>
      <c r="Z43" s="35" t="s">
        <v>8</v>
      </c>
      <c r="AA43" s="36" t="s">
        <v>9</v>
      </c>
      <c r="AB43" s="37" t="s">
        <v>3</v>
      </c>
      <c r="AC43" s="34" t="s">
        <v>4</v>
      </c>
      <c r="AD43" s="34" t="s">
        <v>5</v>
      </c>
      <c r="AE43" s="34" t="s">
        <v>6</v>
      </c>
      <c r="AF43" s="34" t="s">
        <v>7</v>
      </c>
      <c r="AG43" s="36" t="s">
        <v>8</v>
      </c>
      <c r="AH43" s="75" t="s">
        <v>10</v>
      </c>
      <c r="AI43" s="81" t="e" cm="1">
        <f t="array" aca="1" ref="AI43" ca="1">"("&amp; IF(IsFontRed(C43),0,8)+IF(IsFontRed(D43),0,8)+IF(IsFontRed(E43),0,8)+IF(IsFontRed(F43),0,8)+IF(IsFontRed(G43),0,8)+IF(IsFontRed(H43),0,8)+IF(IsFontRed(I43),0,8)+IF(IsFontRed(J43),0,8)+IF(IsFontRed(K43),0,8)+IF(IsFontRed(L43),0,8)+IF(IsFontRed(M43),0,8)+IF(IsFontRed(N43),0,8)+IF(IsFontRed(O43),0,8)+IF(IsFontRed(P43),0,8)+IF(IsFontRed(Q43), 0, 8)+IF(IsFontRed(R43), 0, 8)+IF(IsFontRed(S43), 0, 8)+IF(IsFontRed(T43), 0, 8)+IF(IsFontRed(U43), 0, 8)+IF(IsFontRed(V43), 0, 8)+IF(IsFontRed(W43), 0, 8)+IF(IsFontRed(X43), 0, 8)+IF(IsFontRed(Y43), 0, 8)+IF(IsFontRed(Z43), 0, 8)+IF(IsFontRed(AA43), 0, 8)+IF(IsFontRed(AB43), 0, 8)+IF(IsFontRed(AC43), 0, 8)+IF(IsFontRed(AD43), 0, 8)+IF(IsFontRed(AE43), 0, 8)+IF(IsFontRed(AF43), 0, 8)+IF(IsFontRed(AG43), 0, 8) &amp;")"</f>
        <v>#NAME?</v>
      </c>
    </row>
    <row r="44" spans="2:35" ht="17.25" customHeight="1" thickBot="1" x14ac:dyDescent="0.25">
      <c r="B44" s="98" t="s">
        <v>31</v>
      </c>
      <c r="C44" s="6" t="s">
        <v>65</v>
      </c>
      <c r="D44" s="13" t="s">
        <v>66</v>
      </c>
      <c r="E44" s="7" t="s">
        <v>12</v>
      </c>
      <c r="F44" s="24" t="s">
        <v>12</v>
      </c>
      <c r="G44" s="6" t="s">
        <v>65</v>
      </c>
      <c r="H44" s="13" t="s">
        <v>66</v>
      </c>
      <c r="I44" s="7" t="s">
        <v>12</v>
      </c>
      <c r="J44" s="7" t="s">
        <v>12</v>
      </c>
      <c r="K44" s="6" t="s">
        <v>65</v>
      </c>
      <c r="L44" s="13" t="s">
        <v>66</v>
      </c>
      <c r="M44" s="8" t="s">
        <v>12</v>
      </c>
      <c r="N44" s="20" t="s">
        <v>12</v>
      </c>
      <c r="O44" s="6" t="s">
        <v>65</v>
      </c>
      <c r="P44" s="13" t="s">
        <v>66</v>
      </c>
      <c r="Q44" s="7" t="s">
        <v>12</v>
      </c>
      <c r="R44" s="21" t="s">
        <v>12</v>
      </c>
      <c r="S44" s="12" t="s">
        <v>12</v>
      </c>
      <c r="T44" s="6" t="s">
        <v>65</v>
      </c>
      <c r="U44" s="13" t="s">
        <v>66</v>
      </c>
      <c r="V44" s="12" t="s">
        <v>12</v>
      </c>
      <c r="W44" s="12" t="s">
        <v>12</v>
      </c>
      <c r="X44" s="6" t="s">
        <v>65</v>
      </c>
      <c r="Y44" s="13" t="s">
        <v>66</v>
      </c>
      <c r="Z44" s="12" t="s">
        <v>12</v>
      </c>
      <c r="AA44" s="13" t="s">
        <v>12</v>
      </c>
      <c r="AB44" s="6" t="s">
        <v>65</v>
      </c>
      <c r="AC44" s="13" t="s">
        <v>66</v>
      </c>
      <c r="AD44" s="12" t="s">
        <v>12</v>
      </c>
      <c r="AE44" s="12" t="s">
        <v>12</v>
      </c>
      <c r="AF44" s="6" t="s">
        <v>65</v>
      </c>
      <c r="AG44" s="13" t="s">
        <v>66</v>
      </c>
      <c r="AH44" s="82">
        <f>((((COUNTIF(C44:AG44,"Od")*0)+(COUNT(C44:AG44,"Os")*0)+(COUNTIF(C44:AG44,"D")*8)+(COUNTIF(C44:AG44,"0D")*8)+(COUNTIF(C44:AG44,"M")*12)+(COUNTIF(C44:AG44,"N")*12))+((COUNTIF(C46:AG46,"D")*8)+(COUNTIF(C46:AG46,"M")*12)+(COUNTIF(C46:AG46,"N")*12)))-(COUNTIF(C46:AG46,"V")*8)-(COUNTIF(C46:AG46,"VC")*8))</f>
        <v>0</v>
      </c>
      <c r="AI44" s="83" t="e">
        <f ca="1">"("&amp; AH44-(SUBSTITUTE(SUBSTITUTE(AI43, "(", ""), ")", ""))&amp;")"</f>
        <v>#NAME?</v>
      </c>
    </row>
    <row r="45" spans="2:35" s="55" customFormat="1" ht="17.25" customHeight="1" x14ac:dyDescent="0.2">
      <c r="B45" s="67">
        <v>104629</v>
      </c>
      <c r="C45" s="57"/>
      <c r="D45" s="56"/>
      <c r="E45" s="56"/>
      <c r="F45" s="61"/>
      <c r="G45" s="57"/>
      <c r="H45" s="56"/>
      <c r="I45" s="56"/>
      <c r="J45" s="56"/>
      <c r="K45" s="56"/>
      <c r="L45" s="56"/>
      <c r="M45" s="66"/>
      <c r="N45" s="6" t="s">
        <v>65</v>
      </c>
      <c r="O45" s="56"/>
      <c r="P45" s="56"/>
      <c r="Q45" s="56" t="s">
        <v>72</v>
      </c>
      <c r="R45" s="13" t="s">
        <v>66</v>
      </c>
      <c r="S45" s="56"/>
      <c r="T45" s="61"/>
      <c r="U45" s="57"/>
      <c r="V45" s="13" t="s">
        <v>66</v>
      </c>
      <c r="W45" s="56"/>
      <c r="X45" s="56"/>
      <c r="Y45" s="56"/>
      <c r="Z45" s="13" t="s">
        <v>66</v>
      </c>
      <c r="AA45" s="66"/>
      <c r="AB45" s="64"/>
      <c r="AC45" s="56"/>
      <c r="AD45" s="13" t="s">
        <v>66</v>
      </c>
      <c r="AE45" s="56"/>
      <c r="AF45" s="56"/>
      <c r="AG45" s="66"/>
      <c r="AH45" s="74" t="s">
        <v>26</v>
      </c>
      <c r="AI45" s="79" t="str">
        <f>"("&amp;(COUNTIF(C45:AG45,"M")*12)+(COUNTIF(C45:AG45,"N")*12)+(COUNTIF(C45:AG45,"M1")*6)+(COUNTIF(C45:AG45,"M2")*6)+(COUNTIF(C45:AG45,"N1")*6)+(COUNTIF(C45:AG45,"N2")*6)+(COUNTIF(C45:AG45,"D")*8)+SUM(C45:AG45)&amp;")"</f>
        <v>(0)</v>
      </c>
    </row>
    <row r="46" spans="2:35" s="44" customFormat="1" ht="17.25" customHeight="1" thickBot="1" x14ac:dyDescent="0.25">
      <c r="B46" s="112" t="s">
        <v>36</v>
      </c>
      <c r="C46" s="45"/>
      <c r="D46" s="46"/>
      <c r="E46" s="46"/>
      <c r="F46" s="47"/>
      <c r="G46" s="45"/>
      <c r="H46" s="46"/>
      <c r="I46" s="46"/>
      <c r="J46" s="46"/>
      <c r="K46" s="46"/>
      <c r="L46" s="46"/>
      <c r="M46" s="50"/>
      <c r="N46" s="51"/>
      <c r="O46" s="46"/>
      <c r="P46" s="46"/>
      <c r="Q46" s="46"/>
      <c r="R46" s="46"/>
      <c r="S46" s="46"/>
      <c r="T46" s="47"/>
      <c r="U46" s="45"/>
      <c r="V46" s="46"/>
      <c r="W46" s="46"/>
      <c r="X46" s="46"/>
      <c r="Y46" s="46"/>
      <c r="Z46" s="46"/>
      <c r="AA46" s="50"/>
      <c r="AB46" s="51"/>
      <c r="AC46" s="46"/>
      <c r="AD46" s="46"/>
      <c r="AE46" s="46"/>
      <c r="AF46" s="46"/>
      <c r="AG46" s="50"/>
      <c r="AH46" s="84" t="s">
        <v>27</v>
      </c>
      <c r="AI46" s="85">
        <f>AH44+(SUBSTITUTE(SUBSTITUTE(AI45, "(", ""), ")", ""))</f>
        <v>0</v>
      </c>
    </row>
    <row r="47" spans="2:35" ht="17.25" customHeight="1" x14ac:dyDescent="0.2">
      <c r="B47" s="100" t="s">
        <v>32</v>
      </c>
      <c r="C47" s="11" t="s">
        <v>12</v>
      </c>
      <c r="D47" s="12" t="s">
        <v>65</v>
      </c>
      <c r="E47" s="12" t="s">
        <v>66</v>
      </c>
      <c r="F47" s="26" t="s">
        <v>12</v>
      </c>
      <c r="G47" s="11" t="s">
        <v>12</v>
      </c>
      <c r="H47" s="12" t="s">
        <v>65</v>
      </c>
      <c r="I47" s="12" t="s">
        <v>66</v>
      </c>
      <c r="J47" s="12" t="s">
        <v>12</v>
      </c>
      <c r="K47" s="12" t="s">
        <v>12</v>
      </c>
      <c r="L47" s="12" t="s">
        <v>65</v>
      </c>
      <c r="M47" s="12" t="s">
        <v>66</v>
      </c>
      <c r="N47" s="11" t="s">
        <v>12</v>
      </c>
      <c r="O47" s="12" t="s">
        <v>12</v>
      </c>
      <c r="P47" s="12" t="s">
        <v>65</v>
      </c>
      <c r="Q47" s="12" t="s">
        <v>66</v>
      </c>
      <c r="R47" s="21" t="s">
        <v>12</v>
      </c>
      <c r="S47" s="12" t="s">
        <v>65</v>
      </c>
      <c r="T47" s="12" t="s">
        <v>66</v>
      </c>
      <c r="U47" s="11" t="s">
        <v>12</v>
      </c>
      <c r="V47" s="12" t="s">
        <v>12</v>
      </c>
      <c r="W47" s="12" t="s">
        <v>65</v>
      </c>
      <c r="X47" s="12" t="s">
        <v>66</v>
      </c>
      <c r="Y47" s="12" t="s">
        <v>12</v>
      </c>
      <c r="Z47" s="12" t="s">
        <v>12</v>
      </c>
      <c r="AA47" s="12" t="s">
        <v>65</v>
      </c>
      <c r="AB47" s="12" t="s">
        <v>66</v>
      </c>
      <c r="AC47" s="12" t="s">
        <v>12</v>
      </c>
      <c r="AD47" s="12" t="s">
        <v>12</v>
      </c>
      <c r="AE47" s="12" t="s">
        <v>65</v>
      </c>
      <c r="AF47" s="12" t="s">
        <v>66</v>
      </c>
      <c r="AG47" s="13" t="s">
        <v>12</v>
      </c>
      <c r="AH47" s="77">
        <f>((((COUNTIF(C47:AG47,"Od")*0)+(COUNT(C47:AG47,"Os")*0)+(COUNTIF(C47:AG47,"D")*8)+(COUNTIF(C47:AG47,"0D")*8)+(COUNTIF(C47:AG47,"M")*12)+(COUNTIF(C47:AG47,"N")*12))+((COUNTIF(C49:AG49,"D")*8)+(COUNTIF(C49:AG49,"M")*12)+(COUNTIF(C49:AG49,"N")*12)))-(COUNTIF(C49:AG49,"V")*8)-(COUNTIF(C49:AG49,"VC")*8))</f>
        <v>0</v>
      </c>
      <c r="AI47" s="78" t="e">
        <f ca="1">"("&amp; AH47-(SUBSTITUTE(SUBSTITUTE(AI43, "(", ""), ")", ""))&amp;")"</f>
        <v>#NAME?</v>
      </c>
    </row>
    <row r="48" spans="2:35" s="55" customFormat="1" ht="17.25" customHeight="1" thickBot="1" x14ac:dyDescent="0.25">
      <c r="B48" s="67">
        <v>196875</v>
      </c>
      <c r="C48" s="57"/>
      <c r="D48" s="56"/>
      <c r="E48" s="193" t="s">
        <v>53</v>
      </c>
      <c r="F48" s="61"/>
      <c r="G48" s="57"/>
      <c r="H48" s="56"/>
      <c r="I48" s="56"/>
      <c r="J48" s="56" t="s">
        <v>66</v>
      </c>
      <c r="K48" s="56"/>
      <c r="L48" s="56"/>
      <c r="M48" s="66"/>
      <c r="N48" s="56" t="s">
        <v>66</v>
      </c>
      <c r="O48" s="56"/>
      <c r="P48" s="56"/>
      <c r="Q48" s="56" t="s">
        <v>73</v>
      </c>
      <c r="R48" s="56"/>
      <c r="S48" s="56"/>
      <c r="T48" s="61"/>
      <c r="U48" s="57"/>
      <c r="V48" s="167" t="s">
        <v>65</v>
      </c>
      <c r="W48" s="56"/>
      <c r="X48" s="56"/>
      <c r="Y48" s="56"/>
      <c r="Z48" s="167" t="s">
        <v>65</v>
      </c>
      <c r="AA48" s="66"/>
      <c r="AB48" s="64"/>
      <c r="AC48" s="56"/>
      <c r="AD48" s="56"/>
      <c r="AE48" s="56"/>
      <c r="AF48" s="56"/>
      <c r="AG48" s="66"/>
      <c r="AH48" s="74" t="s">
        <v>26</v>
      </c>
      <c r="AI48" s="79" t="str">
        <f>"("&amp;(COUNTIF(C48:AG48,"M")*12)+(COUNTIF(C48:AG48,"N")*12)+(COUNTIF(C48:AG48,"M1")*6)+(COUNTIF(C48:AG48,"M2")*6)+(COUNTIF(C48:AG48,"N1")*6)+(COUNTIF(C48:AG48,"N2")*6)+(COUNTIF(C48:AG48,"D")*8)+SUM(C48:AG48)&amp;")"</f>
        <v>(0)</v>
      </c>
    </row>
    <row r="49" spans="2:35" s="44" customFormat="1" ht="17.25" customHeight="1" thickBot="1" x14ac:dyDescent="0.25">
      <c r="B49" s="187" t="s">
        <v>37</v>
      </c>
      <c r="C49" s="188"/>
      <c r="D49" s="189"/>
      <c r="F49" s="190"/>
      <c r="G49" s="188"/>
      <c r="H49" s="189"/>
      <c r="I49" s="189"/>
      <c r="J49" s="189"/>
      <c r="K49" s="189"/>
      <c r="L49" s="189"/>
      <c r="M49" s="191"/>
      <c r="N49" s="188"/>
      <c r="O49" s="189"/>
      <c r="P49" s="189"/>
      <c r="Q49" s="189"/>
      <c r="R49" s="189"/>
      <c r="S49" s="9"/>
      <c r="T49" s="190"/>
      <c r="U49" s="188"/>
      <c r="V49" s="189"/>
      <c r="W49" s="189"/>
      <c r="X49" s="189"/>
      <c r="Y49" s="189"/>
      <c r="Z49" s="189"/>
      <c r="AA49" s="191"/>
      <c r="AB49" s="192"/>
      <c r="AC49" s="189"/>
      <c r="AD49" s="189"/>
      <c r="AE49" s="189"/>
      <c r="AF49" s="189"/>
      <c r="AG49" s="191"/>
      <c r="AH49" s="71" t="s">
        <v>27</v>
      </c>
      <c r="AI49" s="72">
        <f>AH47+(SUBSTITUTE(SUBSTITUTE(AI48, "(", ""), ")", ""))</f>
        <v>0</v>
      </c>
    </row>
    <row r="50" spans="2:35" ht="17.25" customHeight="1" x14ac:dyDescent="0.2">
      <c r="B50" s="114" t="s">
        <v>75</v>
      </c>
      <c r="C50" s="11" t="s">
        <v>66</v>
      </c>
      <c r="D50" s="12" t="s">
        <v>12</v>
      </c>
      <c r="E50" s="12" t="s">
        <v>12</v>
      </c>
      <c r="F50" s="26" t="s">
        <v>65</v>
      </c>
      <c r="G50" s="11" t="s">
        <v>66</v>
      </c>
      <c r="H50" s="12" t="s">
        <v>12</v>
      </c>
      <c r="I50" s="12" t="s">
        <v>12</v>
      </c>
      <c r="J50" s="26" t="s">
        <v>65</v>
      </c>
      <c r="K50" s="11" t="s">
        <v>66</v>
      </c>
      <c r="L50" s="12" t="s">
        <v>12</v>
      </c>
      <c r="M50" s="13" t="s">
        <v>12</v>
      </c>
      <c r="N50" s="197" t="s">
        <v>65</v>
      </c>
      <c r="O50" s="198" t="s">
        <v>66</v>
      </c>
      <c r="P50" s="12" t="s">
        <v>12</v>
      </c>
      <c r="Q50" s="12" t="s">
        <v>12</v>
      </c>
      <c r="R50" s="197" t="s">
        <v>65</v>
      </c>
      <c r="S50" s="198" t="s">
        <v>66</v>
      </c>
      <c r="T50" s="26" t="s">
        <v>12</v>
      </c>
      <c r="U50" s="11" t="s">
        <v>12</v>
      </c>
      <c r="V50" s="197" t="s">
        <v>65</v>
      </c>
      <c r="W50" s="198" t="s">
        <v>66</v>
      </c>
      <c r="X50" s="12" t="s">
        <v>12</v>
      </c>
      <c r="Y50" s="12" t="s">
        <v>12</v>
      </c>
      <c r="Z50" s="197" t="s">
        <v>65</v>
      </c>
      <c r="AA50" s="198" t="s">
        <v>66</v>
      </c>
      <c r="AB50" s="14" t="s">
        <v>12</v>
      </c>
      <c r="AC50" s="12" t="s">
        <v>12</v>
      </c>
      <c r="AD50" s="197" t="s">
        <v>65</v>
      </c>
      <c r="AE50" s="198" t="s">
        <v>66</v>
      </c>
      <c r="AF50" s="12" t="s">
        <v>12</v>
      </c>
      <c r="AG50" s="13" t="s">
        <v>12</v>
      </c>
      <c r="AH50" s="82">
        <f>((((COUNTIF(C50:AG50,"Od")*0)+(COUNT(C50:AG50,"Os")*0)+(COUNTIF(C50:AG50,"D")*8)+(COUNTIF(C50:AG50,"0D")*8)+(COUNTIF(C50:AG50,"M")*12)+(COUNTIF(C50:AG50,"N")*12))+((COUNTIF(C52:AG52,"D")*8)+(COUNTIF(C52:AG52,"M")*12)+(COUNTIF(C52:AG52,"N")*12)))-(COUNTIF(C52:AG52,"V")*8)-(COUNTIF(C52:AG52,"VC")*8))</f>
        <v>0</v>
      </c>
      <c r="AI50" s="83" t="e">
        <f ca="1">"("&amp; AH50-(SUBSTITUTE(SUBSTITUTE(AI43, "(", ""), ")", ""))&amp;")"</f>
        <v>#NAME?</v>
      </c>
    </row>
    <row r="51" spans="2:35" s="142" customFormat="1" ht="17.25" customHeight="1" x14ac:dyDescent="0.2">
      <c r="B51" s="67" t="s">
        <v>43</v>
      </c>
      <c r="C51" s="57"/>
      <c r="D51" s="56"/>
      <c r="E51" s="143"/>
      <c r="F51" s="61"/>
      <c r="G51" s="57"/>
      <c r="H51" s="56"/>
      <c r="I51" s="56"/>
      <c r="J51" s="56"/>
      <c r="K51" s="56"/>
      <c r="L51" s="56"/>
      <c r="M51" s="66" t="s">
        <v>65</v>
      </c>
      <c r="N51" s="170" t="s">
        <v>53</v>
      </c>
      <c r="O51" s="167" t="s">
        <v>53</v>
      </c>
      <c r="P51" s="167"/>
      <c r="Q51" s="167"/>
      <c r="R51" s="167" t="s">
        <v>53</v>
      </c>
      <c r="S51" s="167" t="s">
        <v>53</v>
      </c>
      <c r="T51" s="171"/>
      <c r="U51" s="172"/>
      <c r="V51" s="167" t="s">
        <v>53</v>
      </c>
      <c r="W51" s="167" t="s">
        <v>53</v>
      </c>
      <c r="X51" s="167"/>
      <c r="Y51" s="167"/>
      <c r="Z51" s="167" t="s">
        <v>53</v>
      </c>
      <c r="AA51" s="66"/>
      <c r="AB51" s="64"/>
      <c r="AC51" s="56" t="s">
        <v>65</v>
      </c>
      <c r="AD51" s="56"/>
      <c r="AE51" s="56"/>
      <c r="AF51" s="56"/>
      <c r="AG51" s="66"/>
      <c r="AH51" s="74" t="s">
        <v>26</v>
      </c>
      <c r="AI51" s="79" t="str">
        <f>"("&amp;(COUNTIF(C51:AG51,"M")*12)+(COUNTIF(C51:AG51,"N")*12)+(COUNTIF(C51:AG51,"M1")*6)+(COUNTIF(C51:AG51,"M2")*6)+(COUNTIF(C51:AG51,"N1")*6)+(COUNTIF(C51:AG51,"N2")*6)+(COUNTIF(C51:AG51,"D")*8)+SUM(C51:AG51)&amp;")"</f>
        <v>(0)</v>
      </c>
    </row>
    <row r="52" spans="2:35" s="44" customFormat="1" ht="17.25" customHeight="1" thickBot="1" x14ac:dyDescent="0.25">
      <c r="B52" s="68" t="s">
        <v>44</v>
      </c>
      <c r="C52" s="130"/>
      <c r="D52" s="131"/>
      <c r="E52" s="132"/>
      <c r="F52" s="133"/>
      <c r="G52" s="130" t="s">
        <v>45</v>
      </c>
      <c r="H52" s="131"/>
      <c r="I52" s="131"/>
      <c r="J52" s="131"/>
      <c r="K52" s="131"/>
      <c r="L52" s="134"/>
      <c r="M52" s="135"/>
      <c r="N52" s="136"/>
      <c r="O52" s="134"/>
      <c r="P52" s="134"/>
      <c r="Q52" s="134"/>
      <c r="R52" s="134"/>
      <c r="S52" s="134"/>
      <c r="T52" s="137" t="s">
        <v>52</v>
      </c>
      <c r="U52" s="138"/>
      <c r="V52" s="134"/>
      <c r="W52" s="134"/>
      <c r="X52" s="134"/>
      <c r="Y52" s="134"/>
      <c r="Z52" s="134"/>
      <c r="AA52" s="135"/>
      <c r="AB52" s="139"/>
      <c r="AC52" s="140"/>
      <c r="AD52" s="140"/>
      <c r="AE52" s="140" t="s">
        <v>51</v>
      </c>
      <c r="AF52" s="140"/>
      <c r="AG52" s="141"/>
      <c r="AH52" s="84" t="s">
        <v>27</v>
      </c>
      <c r="AI52" s="85">
        <f>AH50+(SUBSTITUTE(SUBSTITUTE(AI51, "(", ""), ")", ""))</f>
        <v>0</v>
      </c>
    </row>
    <row r="53" spans="2:35" ht="17.25" customHeight="1" x14ac:dyDescent="0.2">
      <c r="B53" s="114" t="s">
        <v>75</v>
      </c>
      <c r="C53" s="104" t="s">
        <v>12</v>
      </c>
      <c r="D53" s="105" t="s">
        <v>12</v>
      </c>
      <c r="E53" s="105" t="s">
        <v>65</v>
      </c>
      <c r="F53" s="107" t="s">
        <v>66</v>
      </c>
      <c r="G53" s="104" t="s">
        <v>12</v>
      </c>
      <c r="H53" s="105" t="s">
        <v>12</v>
      </c>
      <c r="I53" s="105" t="s">
        <v>65</v>
      </c>
      <c r="J53" s="107" t="s">
        <v>66</v>
      </c>
      <c r="K53" s="105" t="s">
        <v>12</v>
      </c>
      <c r="L53" s="105" t="s">
        <v>12</v>
      </c>
      <c r="M53" s="105" t="s">
        <v>65</v>
      </c>
      <c r="N53" s="107" t="s">
        <v>66</v>
      </c>
      <c r="O53" s="105" t="s">
        <v>12</v>
      </c>
      <c r="P53" s="105" t="s">
        <v>12</v>
      </c>
      <c r="Q53" s="105" t="s">
        <v>65</v>
      </c>
      <c r="R53" s="107" t="s">
        <v>66</v>
      </c>
      <c r="S53" s="105" t="s">
        <v>12</v>
      </c>
      <c r="T53" s="107" t="s">
        <v>12</v>
      </c>
      <c r="U53" s="105" t="s">
        <v>65</v>
      </c>
      <c r="V53" s="107" t="s">
        <v>66</v>
      </c>
      <c r="W53" s="105" t="s">
        <v>12</v>
      </c>
      <c r="X53" s="105" t="s">
        <v>12</v>
      </c>
      <c r="Y53" s="105" t="s">
        <v>65</v>
      </c>
      <c r="Z53" s="107" t="s">
        <v>66</v>
      </c>
      <c r="AA53" s="106" t="s">
        <v>12</v>
      </c>
      <c r="AB53" s="109" t="s">
        <v>12</v>
      </c>
      <c r="AC53" s="105" t="s">
        <v>65</v>
      </c>
      <c r="AD53" s="107" t="s">
        <v>66</v>
      </c>
      <c r="AE53" s="105" t="s">
        <v>12</v>
      </c>
      <c r="AF53" s="105" t="s">
        <v>12</v>
      </c>
      <c r="AG53" s="106" t="s">
        <v>65</v>
      </c>
      <c r="AH53" s="77">
        <f>((((COUNTIF(C53:AG53,"Od")*0)+(COUNT(C53:AG53,"Os")*0)+(COUNTIF(C53:AG53,"D")*8)+(COUNTIF(C53:AG53,"0D")*8)+(COUNTIF(C53:AG53,"M")*12)+(COUNTIF(C53:AG53,"N")*12))+((COUNTIF(C55:AG55,"D")*8)+(COUNTIF(C55:AG55,"M")*12)+(COUNTIF(C55:AG55,"N")*12)))-(COUNTIF(C55:AG55,"V")*8)-(COUNTIF(C55:AG55,"VC")*8))</f>
        <v>0</v>
      </c>
      <c r="AI53" s="78" t="e">
        <f ca="1">"("&amp; AH53-(SUBSTITUTE(SUBSTITUTE(AI43, "(", ""), ")", ""))&amp;")"</f>
        <v>#NAME?</v>
      </c>
    </row>
    <row r="54" spans="2:35" s="55" customFormat="1" ht="17.25" customHeight="1" x14ac:dyDescent="0.2">
      <c r="B54" s="115" t="s">
        <v>43</v>
      </c>
      <c r="C54" s="57"/>
      <c r="D54" s="56"/>
      <c r="E54" s="56" t="s">
        <v>33</v>
      </c>
      <c r="F54" s="61" t="s">
        <v>38</v>
      </c>
      <c r="G54" s="57"/>
      <c r="H54" s="56"/>
      <c r="I54" s="56" t="s">
        <v>35</v>
      </c>
      <c r="J54" s="61" t="s">
        <v>37</v>
      </c>
      <c r="K54" s="56"/>
      <c r="L54" s="56"/>
      <c r="M54" s="66" t="s">
        <v>33</v>
      </c>
      <c r="N54" s="61" t="s">
        <v>37</v>
      </c>
      <c r="O54" s="56"/>
      <c r="P54" s="56"/>
      <c r="Q54" s="56" t="s">
        <v>36</v>
      </c>
      <c r="R54" s="61" t="s">
        <v>36</v>
      </c>
      <c r="S54" s="56"/>
      <c r="T54" s="56"/>
      <c r="U54" s="57" t="s">
        <v>34</v>
      </c>
      <c r="V54" s="61" t="s">
        <v>36</v>
      </c>
      <c r="W54" s="56"/>
      <c r="X54" s="56"/>
      <c r="Y54" s="56" t="s">
        <v>34</v>
      </c>
      <c r="Z54" s="61" t="s">
        <v>36</v>
      </c>
      <c r="AA54" s="66"/>
      <c r="AB54" s="64"/>
      <c r="AC54" s="56" t="s">
        <v>38</v>
      </c>
      <c r="AD54" s="61" t="s">
        <v>36</v>
      </c>
      <c r="AE54" s="56"/>
      <c r="AF54" s="56"/>
      <c r="AG54" s="66" t="s">
        <v>35</v>
      </c>
      <c r="AH54" s="74" t="s">
        <v>26</v>
      </c>
      <c r="AI54" s="79" t="str">
        <f>"("&amp;(COUNTIF(C54:AG54,"M")*12)+(COUNTIF(C54:AG54,"N")*12)+(COUNTIF(C54:AG54,"M1")*6)+(COUNTIF(C54:AG54,"M2")*6)+(COUNTIF(C54:AG54,"N1")*6)+(COUNTIF(C54:AG54,"N2")*6)+(COUNTIF(C54:AG54,"D")*8)+SUM(C54:AG54)&amp;")"</f>
        <v>(0)</v>
      </c>
    </row>
    <row r="55" spans="2:35" s="44" customFormat="1" ht="17.25" customHeight="1" thickBot="1" x14ac:dyDescent="0.25">
      <c r="B55" s="116" t="s">
        <v>44</v>
      </c>
      <c r="C55" s="94"/>
      <c r="D55" s="95"/>
      <c r="E55" s="96" t="s">
        <v>38</v>
      </c>
      <c r="F55" s="108"/>
      <c r="G55" s="111"/>
      <c r="H55" s="95"/>
      <c r="I55" s="95"/>
      <c r="J55" s="95"/>
      <c r="K55" s="95"/>
      <c r="L55" s="95"/>
      <c r="M55" s="103"/>
      <c r="N55" s="110"/>
      <c r="O55" s="95"/>
      <c r="P55" s="95"/>
      <c r="Q55" s="95" t="s">
        <v>37</v>
      </c>
      <c r="R55" s="95"/>
      <c r="S55" s="95"/>
      <c r="T55" s="108"/>
      <c r="U55" s="111"/>
      <c r="V55" s="95"/>
      <c r="W55" s="95"/>
      <c r="X55" s="95"/>
      <c r="Y55" s="95"/>
      <c r="Z55" s="95"/>
      <c r="AA55" s="103"/>
      <c r="AB55" s="110"/>
      <c r="AC55" s="95"/>
      <c r="AD55" s="95"/>
      <c r="AE55" s="95"/>
      <c r="AF55" s="95"/>
      <c r="AG55" s="103"/>
      <c r="AH55" s="84" t="s">
        <v>27</v>
      </c>
      <c r="AI55" s="85">
        <f>AH53+(SUBSTITUTE(SUBSTITUTE(AI54, "(", ""), ")", ""))</f>
        <v>0</v>
      </c>
    </row>
    <row r="56" spans="2:35" ht="6" customHeight="1" x14ac:dyDescent="0.2"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</row>
    <row r="57" spans="2:35" ht="11.25" customHeight="1" x14ac:dyDescent="0.2">
      <c r="B57" s="233" t="s">
        <v>54</v>
      </c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69"/>
    </row>
    <row r="58" spans="2:35" ht="16.5" customHeight="1" x14ac:dyDescent="0.2">
      <c r="B58" s="9" t="s">
        <v>28</v>
      </c>
      <c r="I58" s="167" t="s">
        <v>55</v>
      </c>
      <c r="J58" s="186" t="s">
        <v>57</v>
      </c>
      <c r="M58" s="56" t="s">
        <v>55</v>
      </c>
      <c r="N58" s="186" t="s">
        <v>59</v>
      </c>
    </row>
    <row r="59" spans="2:35" ht="14.25" customHeight="1" x14ac:dyDescent="0.2">
      <c r="B59" s="41" t="s">
        <v>25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70"/>
      <c r="AI59" s="69"/>
    </row>
    <row r="60" spans="2:35" x14ac:dyDescent="0.2"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spans="2:35" x14ac:dyDescent="0.2"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</row>
  </sheetData>
  <mergeCells count="10">
    <mergeCell ref="B57:AH57"/>
    <mergeCell ref="AH35:AI35"/>
    <mergeCell ref="B41:AH41"/>
    <mergeCell ref="AH42:AI42"/>
    <mergeCell ref="B56:AH56"/>
    <mergeCell ref="B1:AH1"/>
    <mergeCell ref="AH2:AI2"/>
    <mergeCell ref="B28:AH28"/>
    <mergeCell ref="B29:AH29"/>
    <mergeCell ref="B34:AH34"/>
  </mergeCells>
  <pageMargins left="0.25" right="0.25" top="1.135" bottom="0.75" header="0.3" footer="0.3"/>
  <pageSetup scale="92" orientation="landscape" r:id="rId1"/>
  <rowBreaks count="1" manualBreakCount="1">
    <brk id="40" max="16383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รวมลา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AEROTHAI</dc:creator>
  <cp:keywords/>
  <dc:description/>
  <cp:lastModifiedBy>Chaiyod Pracha</cp:lastModifiedBy>
  <cp:revision/>
  <cp:lastPrinted>2026-09-24T11:53:11Z</cp:lastPrinted>
  <dcterms:created xsi:type="dcterms:W3CDTF">2021-01-04T03:04:47Z</dcterms:created>
  <dcterms:modified xsi:type="dcterms:W3CDTF">2026-10-21T09:31:22Z</dcterms:modified>
  <cp:category/>
  <cp:contentStatus/>
</cp:coreProperties>
</file>